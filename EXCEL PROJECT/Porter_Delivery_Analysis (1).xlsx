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5.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ta_Prep" sheetId="2" state="visible" r:id="rId2"/>
    <sheet xmlns:r="http://schemas.openxmlformats.org/officeDocument/2006/relationships" name="Markets" sheetId="3" state="visible" r:id="rId3"/>
    <sheet xmlns:r="http://schemas.openxmlformats.org/officeDocument/2006/relationships" name="Categories" sheetId="4" state="visible" r:id="rId4"/>
    <sheet xmlns:r="http://schemas.openxmlformats.org/officeDocument/2006/relationships" name="Time_Patterns" sheetId="5" state="visible" r:id="rId5"/>
    <sheet xmlns:r="http://schemas.openxmlformats.org/officeDocument/2006/relationships" name="Delivery_Distribution" sheetId="6" state="visible" r:id="rId6"/>
    <sheet xmlns:r="http://schemas.openxmlformats.org/officeDocument/2006/relationships" name="Partners" sheetId="7" state="visible" r:id="rId7"/>
    <sheet xmlns:r="http://schemas.openxmlformats.org/officeDocument/2006/relationships" name="Orders_Value" sheetId="8" state="visible" r:id="rId8"/>
    <sheet xmlns:r="http://schemas.openxmlformats.org/officeDocument/2006/relationships" name="Protocols_Stores" sheetId="9" state="visible" r:id="rId9"/>
    <sheet xmlns:r="http://schemas.openxmlformats.org/officeDocument/2006/relationships" name="Repeat_Customers" sheetId="10" state="visible" r:id="rId10"/>
  </sheets>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00"/>
    <numFmt numFmtId="168" formatCode="0.0000"/>
  </numFmts>
  <fonts count="7">
    <font>
      <name val="Calibri"/>
      <family val="2"/>
      <color theme="1"/>
      <sz val="11"/>
      <scheme val="minor"/>
    </font>
    <font>
      <name val="Arial"/>
      <b val="1"/>
      <color rgb="00FFFFFF"/>
      <sz val="14"/>
    </font>
    <font>
      <name val="Arial"/>
      <i val="1"/>
      <color rgb="00000000"/>
      <sz val="10"/>
    </font>
    <font>
      <name val="Arial"/>
      <b val="1"/>
      <color rgb="001F3864"/>
      <sz val="12"/>
    </font>
    <font>
      <name val="Arial"/>
      <b val="1"/>
      <color rgb="00FFFFFF"/>
      <sz val="10"/>
    </font>
    <font>
      <name val="Arial"/>
      <color rgb="00000000"/>
      <sz val="10"/>
    </font>
    <font>
      <name val="Arial"/>
      <b val="1"/>
      <color rgb="00000000"/>
      <sz val="10"/>
    </font>
  </fonts>
  <fills count="6">
    <fill>
      <patternFill/>
    </fill>
    <fill>
      <patternFill patternType="gray125"/>
    </fill>
    <fill>
      <patternFill patternType="solid">
        <fgColor rgb="001F3864"/>
        <bgColor rgb="001F3864"/>
      </patternFill>
    </fill>
    <fill>
      <patternFill patternType="solid">
        <fgColor rgb="00D9E2F3"/>
        <bgColor rgb="00D9E2F3"/>
      </patternFill>
    </fill>
    <fill>
      <patternFill patternType="solid">
        <fgColor rgb="00305496"/>
        <bgColor rgb="00305496"/>
      </patternFill>
    </fill>
    <fill>
      <patternFill patternType="solid">
        <fgColor rgb="00FFF2CC"/>
        <b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0" pivotButton="0" quotePrefix="0" xfId="0"/>
    <xf numFmtId="0" fontId="0" fillId="2" borderId="0" pivotButton="0" quotePrefix="0" xfId="0"/>
    <xf numFmtId="0" fontId="2" fillId="0" borderId="0" applyAlignment="1" pivotButton="0" quotePrefix="0" xfId="0">
      <alignment vertical="top" wrapText="1"/>
    </xf>
    <xf numFmtId="0" fontId="4" fillId="4" borderId="1" applyAlignment="1" pivotButton="0" quotePrefix="0" xfId="0">
      <alignment horizontal="center" vertical="center" wrapText="1"/>
    </xf>
    <xf numFmtId="0" fontId="5" fillId="0" borderId="1" applyAlignment="1" pivotButton="0" quotePrefix="0" xfId="0">
      <alignment vertical="top" wrapText="1"/>
    </xf>
    <xf numFmtId="0" fontId="6" fillId="0" borderId="0" applyAlignment="1" pivotButton="0" quotePrefix="0" xfId="0">
      <alignment vertical="top" wrapText="1"/>
    </xf>
    <xf numFmtId="0" fontId="3" fillId="3" borderId="0" pivotButton="0" quotePrefix="0" xfId="0"/>
    <xf numFmtId="0" fontId="0" fillId="3" borderId="0" pivotButton="0" quotePrefix="0" xfId="0"/>
    <xf numFmtId="0" fontId="5" fillId="0" borderId="1" pivotButton="0" quotePrefix="0" xfId="0"/>
    <xf numFmtId="3" fontId="5" fillId="0" borderId="1" pivotButton="0" quotePrefix="0" xfId="0"/>
    <xf numFmtId="0" fontId="5" fillId="0" borderId="0" applyAlignment="1" pivotButton="0" quotePrefix="0" xfId="0">
      <alignment vertical="top" wrapText="1"/>
    </xf>
    <xf numFmtId="164" fontId="5" fillId="0" borderId="1" pivotButton="0" quotePrefix="0" xfId="0"/>
    <xf numFmtId="165" fontId="5" fillId="0" borderId="1" pivotButton="0" quotePrefix="0" xfId="0"/>
    <xf numFmtId="0" fontId="5" fillId="5" borderId="0" applyAlignment="1" pivotButton="0" quotePrefix="0" xfId="0">
      <alignment vertical="top" wrapText="1"/>
    </xf>
    <xf numFmtId="1" fontId="5" fillId="0" borderId="1" pivotButton="0" quotePrefix="0" xfId="0"/>
    <xf numFmtId="166" fontId="5" fillId="0" borderId="1" pivotButton="0" quotePrefix="0" xfId="0"/>
    <xf numFmtId="2" fontId="5" fillId="0" borderId="1" pivotButton="0" quotePrefix="0" xfId="0"/>
    <xf numFmtId="167" fontId="5" fillId="0" borderId="1" pivotButton="0" quotePrefix="0" xfId="0"/>
    <xf numFmtId="168" fontId="5"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Orders by market</a:t>
            </a:r>
          </a:p>
        </rich>
      </tx>
    </title>
    <plotArea>
      <barChart>
        <barDir val="col"/>
        <grouping val="clustered"/>
        <ser>
          <idx val="0"/>
          <order val="0"/>
          <tx>
            <strRef>
              <f>'Markets'!B5</f>
            </strRef>
          </tx>
          <spPr>
            <a:ln xmlns:a="http://schemas.openxmlformats.org/drawingml/2006/main">
              <a:prstDash val="solid"/>
            </a:ln>
          </spPr>
          <cat>
            <numRef>
              <f>'Markets'!$A$6:$A$11</f>
            </numRef>
          </cat>
          <val>
            <numRef>
              <f>'Markets'!$B$6:$B$11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Orders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Orders by hour of day</a:t>
            </a:r>
          </a:p>
        </rich>
      </tx>
    </title>
    <plotArea>
      <barChart>
        <barDir val="col"/>
        <grouping val="clustered"/>
        <ser>
          <idx val="0"/>
          <order val="0"/>
          <tx>
            <strRef>
              <f>'Time_Patterns'!B6</f>
            </strRef>
          </tx>
          <spPr>
            <a:ln xmlns:a="http://schemas.openxmlformats.org/drawingml/2006/main">
              <a:prstDash val="solid"/>
            </a:ln>
          </spPr>
          <cat>
            <numRef>
              <f>'Time_Patterns'!$A$7:$A$25</f>
            </numRef>
          </cat>
          <val>
            <numRef>
              <f>'Time_Patterns'!$B$7:$B$25</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Orders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Orders by day of week</a:t>
            </a:r>
          </a:p>
        </rich>
      </tx>
    </title>
    <plotArea>
      <barChart>
        <barDir val="col"/>
        <grouping val="clustered"/>
        <ser>
          <idx val="0"/>
          <order val="0"/>
          <tx>
            <strRef>
              <f>'Time_Patterns'!B30</f>
            </strRef>
          </tx>
          <spPr>
            <a:ln xmlns:a="http://schemas.openxmlformats.org/drawingml/2006/main">
              <a:prstDash val="solid"/>
            </a:ln>
          </spPr>
          <cat>
            <numRef>
              <f>'Time_Patterns'!$A$31:$A$37</f>
            </numRef>
          </cat>
          <val>
            <numRef>
              <f>'Time_Patterns'!$B$31:$B$37</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Orders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Average delivery time by day</a:t>
            </a:r>
          </a:p>
        </rich>
      </tx>
    </title>
    <plotArea>
      <barChart>
        <barDir val="col"/>
        <grouping val="clustered"/>
        <ser>
          <idx val="0"/>
          <order val="0"/>
          <tx>
            <strRef>
              <f>'Time_Patterns'!C42</f>
            </strRef>
          </tx>
          <spPr>
            <a:ln xmlns:a="http://schemas.openxmlformats.org/drawingml/2006/main">
              <a:prstDash val="solid"/>
            </a:ln>
          </spPr>
          <cat>
            <numRef>
              <f>'Time_Patterns'!$A$43:$A$49</f>
            </numRef>
          </cat>
          <val>
            <numRef>
              <f>'Time_Patterns'!$C$43:$C$49</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Minutes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Delivery time distribution</a:t>
            </a:r>
          </a:p>
        </rich>
      </tx>
    </title>
    <plotArea>
      <barChart>
        <barDir val="col"/>
        <grouping val="clustered"/>
        <ser>
          <idx val="0"/>
          <order val="0"/>
          <tx>
            <strRef>
              <f>'Delivery_Distribution'!B28</f>
            </strRef>
          </tx>
          <spPr>
            <a:ln xmlns:a="http://schemas.openxmlformats.org/drawingml/2006/main">
              <a:prstDash val="solid"/>
            </a:ln>
          </spPr>
          <cat>
            <numRef>
              <f>'Delivery_Distribution'!$A$29:$A$38</f>
            </numRef>
          </cat>
          <val>
            <numRef>
              <f>'Delivery_Distribution'!$B$29:$B$38</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Orders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Orders vs busy partners by hour</a:t>
            </a:r>
          </a:p>
        </rich>
      </tx>
    </title>
    <plotArea>
      <barChart>
        <barDir val="col"/>
        <grouping val="clustered"/>
        <ser>
          <idx val="0"/>
          <order val="0"/>
          <tx>
            <strRef>
              <f>'Partners'!B5</f>
            </strRef>
          </tx>
          <spPr>
            <a:ln xmlns:a="http://schemas.openxmlformats.org/drawingml/2006/main">
              <a:prstDash val="solid"/>
            </a:ln>
          </spPr>
          <cat>
            <numRef>
              <f>'Partners'!$A$6:$A$21</f>
            </numRef>
          </cat>
          <val>
            <numRef>
              <f>'Partners'!$B$6:$B$21</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Average delivery time by protocol</a:t>
            </a:r>
          </a:p>
        </rich>
      </tx>
    </title>
    <plotArea>
      <barChart>
        <barDir val="col"/>
        <grouping val="clustered"/>
        <ser>
          <idx val="0"/>
          <order val="0"/>
          <tx>
            <strRef>
              <f>'Protocols_Stores'!C5</f>
            </strRef>
          </tx>
          <spPr>
            <a:ln xmlns:a="http://schemas.openxmlformats.org/drawingml/2006/main">
              <a:prstDash val="solid"/>
            </a:ln>
          </spPr>
          <cat>
            <numRef>
              <f>'Protocols_Stores'!$A$6:$A$12</f>
            </numRef>
          </cat>
          <val>
            <numRef>
              <f>'Protocols_Stores'!$C$6:$C$12</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Minutes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s>
</file>

<file path=xl/drawings/_rels/drawing5.xml.rels><Relationships xmlns="http://schemas.openxmlformats.org/package/2006/relationships"><Relationship Type="http://schemas.openxmlformats.org/officeDocument/2006/relationships/chart" Target="/xl/charts/chart7.xml" Id="rId1"/></Relationships>
</file>

<file path=xl/drawings/drawing1.xml><?xml version="1.0" encoding="utf-8"?>
<wsDr xmlns="http://schemas.openxmlformats.org/drawingml/2006/spreadsheetDrawing">
  <oneCellAnchor>
    <from>
      <col>9</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8</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25</row>
      <rowOff>0</rowOff>
    </from>
    <ext cx="576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8</col>
      <colOff>0</colOff>
      <row>47</row>
      <rowOff>0</rowOff>
    </from>
    <ext cx="576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3.xml><?xml version="1.0" encoding="utf-8"?>
<wsDr xmlns="http://schemas.openxmlformats.org/drawingml/2006/spreadsheetDrawing">
  <oneCellAnchor>
    <from>
      <col>7</col>
      <colOff>0</colOff>
      <row>5</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8</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7</col>
      <colOff>0</colOff>
      <row>3</row>
      <rowOff>0</rowOff>
    </from>
    <ext cx="576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9.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00000000"/>
    <outlinePr summaryBelow="1" summaryRight="1"/>
    <pageSetUpPr/>
  </sheetPr>
  <dimension ref="A1:D26"/>
  <sheetViews>
    <sheetView showGridLines="0" workbookViewId="0">
      <pane ySplit="4" topLeftCell="A5" activePane="bottomLeft" state="frozen"/>
      <selection pane="bottomLeft" activeCell="A1" sqref="A1"/>
    </sheetView>
  </sheetViews>
  <sheetFormatPr baseColWidth="8" defaultRowHeight="15"/>
  <cols>
    <col width="5" customWidth="1" min="1" max="1"/>
    <col width="38" customWidth="1" min="2" max="2"/>
    <col width="62" customWidth="1" min="3" max="3"/>
    <col width="62" customWidth="1" min="4" max="4"/>
  </cols>
  <sheetData>
    <row r="1" ht="26" customHeight="1">
      <c r="A1" s="1" t="inlineStr">
        <is>
          <t>Porter Delivery - Analysis summary</t>
        </is>
      </c>
      <c r="B1" s="2" t="n"/>
      <c r="C1" s="2" t="n"/>
      <c r="D1" s="2" t="n"/>
    </row>
    <row r="2" ht="17.5" customHeight="1">
      <c r="A2" s="3" t="inlineStr">
        <is>
          <t>197,418 deliveries analysed (21 Jan - 18 Feb 2015, 29 days) after removing 10 unusable rows. Details and tables are on the other sheets.</t>
        </is>
      </c>
    </row>
    <row r="4" ht="30" customHeight="1">
      <c r="A4" s="4" t="inlineStr">
        <is>
          <t>#</t>
        </is>
      </c>
      <c r="B4" s="4" t="inlineStr">
        <is>
          <t>Question</t>
        </is>
      </c>
      <c r="C4" s="4" t="inlineStr">
        <is>
          <t>Answer</t>
        </is>
      </c>
      <c r="D4" s="4" t="inlineStr">
        <is>
          <t>Business action</t>
        </is>
      </c>
    </row>
    <row r="5" ht="42" customHeight="1">
      <c r="A5" s="5" t="inlineStr">
        <is>
          <t>B1</t>
        </is>
      </c>
      <c r="B5" s="5" t="inlineStr">
        <is>
          <t>Order volume by market</t>
        </is>
      </c>
      <c r="C5" s="5" t="inlineStr">
        <is>
          <t>Market 2 leads (55,055, 28.0%), then 4 (24.2%) and 1 (19.4%). Market 6 is smallest (7.4%).</t>
        </is>
      </c>
      <c r="D5" s="5" t="inlineStr">
        <is>
          <t>Prioritise supply and marketing in markets 2, 4 and 1; grow 5 and 6.</t>
        </is>
      </c>
    </row>
    <row r="6" ht="42" customHeight="1">
      <c r="A6" s="5" t="inlineStr">
        <is>
          <t>B2</t>
        </is>
      </c>
      <c r="B6" s="5" t="inlineStr">
        <is>
          <t>Avg delivery time by store category</t>
        </is>
      </c>
      <c r="C6" s="5" t="inlineStr">
        <is>
          <t>Fastest: fast and mexican (about 44 min). Slowest: Japanese, Burmese, steak (about 52 min among 500+ order categories).</t>
        </is>
      </c>
      <c r="D6" s="5" t="inlineStr">
        <is>
          <t>Review prep times and partnerships for slow categories.</t>
        </is>
      </c>
    </row>
    <row r="7" ht="42" customHeight="1">
      <c r="A7" s="5" t="inlineStr">
        <is>
          <t>B3</t>
        </is>
      </c>
      <c r="B7" s="5" t="inlineStr">
        <is>
          <t>Peak order hours</t>
        </is>
      </c>
      <c r="C7" s="5" t="inlineStr">
        <is>
          <t>Hours 1-3 (recorded time) carry 46.7% of orders; hour 2 is the busiest. Smaller wave at 19-21.</t>
        </is>
      </c>
      <c r="D7" s="5" t="inlineStr">
        <is>
          <t>Schedule partner shifts around these hours.</t>
        </is>
      </c>
    </row>
    <row r="8" ht="42" customHeight="1">
      <c r="A8" s="5" t="inlineStr">
        <is>
          <t>B4</t>
        </is>
      </c>
      <c r="B8" s="5" t="inlineStr">
        <is>
          <t>Highest-volume days</t>
        </is>
      </c>
      <c r="C8" s="5" t="inlineStr">
        <is>
          <t>Saturday (34,541) and Sunday (33,614); Tuesday is quietest per calendar day.</t>
        </is>
      </c>
      <c r="D8" s="5" t="inlineStr">
        <is>
          <t>Promote on Tuesday-Wednesday; add weekend capacity.</t>
        </is>
      </c>
    </row>
    <row r="9" ht="42" customHeight="1">
      <c r="A9" s="5" t="inlineStr">
        <is>
          <t>B5</t>
        </is>
      </c>
      <c r="B9" s="5" t="inlineStr">
        <is>
          <t>Correlation: total items vs subtotal</t>
        </is>
      </c>
      <c r="C9" s="5" t="inlineStr">
        <is>
          <t>r = 0.56 (moderate positive).</t>
        </is>
      </c>
      <c r="D9" s="5" t="inlineStr">
        <is>
          <t>Bundles and add-ons raise order value.</t>
        </is>
      </c>
    </row>
    <row r="10" ht="42" customHeight="1">
      <c r="A10" s="5" t="inlineStr">
        <is>
          <t>B6</t>
        </is>
      </c>
      <c r="B10" s="5" t="inlineStr">
        <is>
          <t>Delivery time distribution and outliers</t>
        </is>
      </c>
      <c r="C10" s="5" t="inlineStr">
        <is>
          <t>Median 44.3 min, mean 47.7; right-skewed; 6,274 outliers (3.2%) above 88 min; 135 over 3 hours.</t>
        </is>
      </c>
      <c r="D10" s="5" t="inlineStr">
        <is>
          <t>Manage to median / 95th percentile; investigate 3h+ cases.</t>
        </is>
      </c>
    </row>
    <row r="11" ht="42" customHeight="1">
      <c r="A11" s="5" t="inlineStr">
        <is>
          <t>B7</t>
        </is>
      </c>
      <c r="B11" s="5" t="inlineStr">
        <is>
          <t>% delivered within 30 minutes</t>
        </is>
      </c>
      <c r="C11" s="5" t="inlineStr">
        <is>
          <t>13.2% (80% within 60 min).</t>
        </is>
      </c>
      <c r="D11" s="5" t="inlineStr">
        <is>
          <t>A 30-min promise is unrealistic; 60-min is achievable.</t>
        </is>
      </c>
    </row>
    <row r="12" ht="42" customHeight="1">
      <c r="A12" s="5" t="inlineStr">
        <is>
          <t>B8</t>
        </is>
      </c>
      <c r="B12" s="5" t="inlineStr">
        <is>
          <t>Order volume vs busy partners</t>
        </is>
      </c>
      <c r="C12" s="5" t="inlineStr">
        <is>
          <t>Strong positive: r = 0.96 by hour of day, 0.92 by hourly slot.</t>
        </is>
      </c>
      <c r="D12" s="5" t="inlineStr">
        <is>
          <t>Supply follows demand but with little spare capacity at peak.</t>
        </is>
      </c>
    </row>
    <row r="13" ht="42" customHeight="1">
      <c r="A13" s="5" t="inlineStr">
        <is>
          <t>B9</t>
        </is>
      </c>
      <c r="B13" s="5" t="inlineStr">
        <is>
          <t>Delivery time by day of week</t>
        </is>
      </c>
      <c r="C13" s="5" t="inlineStr">
        <is>
          <t>Monday slowest (51.5 min), then Saturday (50.1); Wednesday fastest (44.2).</t>
        </is>
      </c>
      <c r="D13" s="5" t="inlineStr">
        <is>
          <t>Fix Monday operations; add weekend incentives.</t>
        </is>
      </c>
    </row>
    <row r="14" ht="42" customHeight="1">
      <c r="A14" s="5" t="inlineStr">
        <is>
          <t>B10</t>
        </is>
      </c>
      <c r="B14" s="5" t="inlineStr">
        <is>
          <t>Top 5 slowest stores</t>
        </is>
      </c>
      <c r="C14" s="5" t="inlineStr">
        <is>
          <t>Five stores (30+ orders each) averaging 80-84 min; four are in market 1. See Protocols_Stores.</t>
        </is>
      </c>
      <c r="D14" s="5" t="inlineStr">
        <is>
          <t>Targeted store-level improvement talks.</t>
        </is>
      </c>
    </row>
    <row r="15" ht="42" customHeight="1">
      <c r="A15" s="5" t="inlineStr">
        <is>
          <t>M1</t>
        </is>
      </c>
      <c r="B15" s="5" t="inlineStr">
        <is>
          <t>Order protocol efficiency</t>
        </is>
      </c>
      <c r="C15" s="5" t="inlineStr">
        <is>
          <t>Protocol 5 fastest at scale (45.6 min); protocol 1 slowest of the large ones (49.9); protocol 6 slowest overall (61.1, only 794 orders).</t>
        </is>
      </c>
      <c r="D15" s="5" t="inlineStr">
        <is>
          <t>Shift volume to faster channels; review protocol 6.</t>
        </is>
      </c>
    </row>
    <row r="16" ht="42" customHeight="1">
      <c r="A16" s="5" t="inlineStr">
        <is>
          <t>M2</t>
        </is>
      </c>
      <c r="B16" s="5" t="inlineStr">
        <is>
          <t>Average order value by market</t>
        </is>
      </c>
      <c r="C16" s="5" t="inlineStr">
        <is>
          <t>From 2,412 (market 5) to 2,896 (market 4).</t>
        </is>
      </c>
      <c r="D16" s="5" t="inlineStr">
        <is>
          <t>Premium offers in market 4; add-on offers in market 5.</t>
        </is>
      </c>
    </row>
    <row r="17" ht="42" customHeight="1">
      <c r="A17" s="5" t="inlineStr">
        <is>
          <t>M3</t>
        </is>
      </c>
      <c r="B17" s="5" t="inlineStr">
        <is>
          <t>On-shift partners vs delivery time at peak</t>
        </is>
      </c>
      <c r="C17" s="5" t="inlineStr">
        <is>
          <t>No meaningful correlation (r = -0.05); delivery is slower only when on-shift supply is in its lowest quartile.</t>
        </is>
      </c>
      <c r="D17" s="5" t="inlineStr">
        <is>
          <t>Avoid very low supply at peak; more partners beyond that helps little.</t>
        </is>
      </c>
    </row>
    <row r="18" ht="42" customHeight="1">
      <c r="A18" s="5" t="inlineStr">
        <is>
          <t>M4</t>
        </is>
      </c>
      <c r="B18" s="5" t="inlineStr">
        <is>
          <t>Total / distinct items vs delivery time (regression)</t>
        </is>
      </c>
      <c r="C18" s="5" t="inlineStr">
        <is>
          <t>+1.8 min per distinct item (p&lt;0.001); total items not significant once distinct items are included; R-squared only 2.6%.</t>
        </is>
      </c>
      <c r="D18" s="5" t="inlineStr">
        <is>
          <t>Quote longer ETAs for multi-dish orders.</t>
        </is>
      </c>
    </row>
    <row r="19" ht="42" customHeight="1">
      <c r="A19" s="5" t="inlineStr">
        <is>
          <t>M5</t>
        </is>
      </c>
      <c r="B19" s="5" t="inlineStr">
        <is>
          <t>Delivery time trend through the week</t>
        </is>
      </c>
      <c r="C19" s="5" t="inlineStr">
        <is>
          <t>Same as B9: Monday slowest, Wednesday/Friday fastest.</t>
        </is>
      </c>
      <c r="D19" s="5" t="inlineStr">
        <is>
          <t>Targeted day-specific interventions.</t>
        </is>
      </c>
    </row>
    <row r="20" ht="42" customHeight="1">
      <c r="A20" s="5" t="inlineStr">
        <is>
          <t>M6</t>
        </is>
      </c>
      <c r="B20" s="5" t="inlineStr">
        <is>
          <t>Item price range vs order value</t>
        </is>
      </c>
      <c r="C20" s="5" t="inlineStr">
        <is>
          <t>r = 0.51; wide-range orders average 2.0x the subtotal of narrow-range orders.</t>
        </is>
      </c>
      <c r="D20" s="5" t="inlineStr">
        <is>
          <t>Pair premium anchors with cheap add-ons.</t>
        </is>
      </c>
    </row>
    <row r="21" ht="42" customHeight="1">
      <c r="A21" s="5" t="inlineStr">
        <is>
          <t>M7</t>
        </is>
      </c>
      <c r="B21" s="5" t="inlineStr">
        <is>
          <t>Category effect on above-average-value orders</t>
        </is>
      </c>
      <c r="C21" s="5" t="inlineStr">
        <is>
          <t>38.5% of orders are above average value; by category from 12% to 68% (Cramer's V 0.25).</t>
        </is>
      </c>
      <c r="D21" s="5" t="inlineStr">
        <is>
          <t>Promote high-value categories; boost combos for low-value ones.</t>
        </is>
      </c>
    </row>
    <row r="22" ht="42" customHeight="1">
      <c r="A22" s="5" t="inlineStr">
        <is>
          <t>M8</t>
        </is>
      </c>
      <c r="B22" s="5" t="inlineStr">
        <is>
          <t>Delivery time variance within markets / categories</t>
        </is>
      </c>
      <c r="C22" s="5" t="inlineStr">
        <is>
          <t>Std dev 18-22 min across markets (market 1 highest); market explains 0.9% of variation, category 1.4%. Statistically different, practically small.</t>
        </is>
      </c>
      <c r="D22" s="5" t="inlineStr">
        <is>
          <t>Focus on specific high-variance market x category pairs.</t>
        </is>
      </c>
    </row>
    <row r="23" ht="42" customHeight="1">
      <c r="A23" s="5" t="inlineStr">
        <is>
          <t>M9</t>
        </is>
      </c>
      <c r="B23" s="5" t="inlineStr">
        <is>
          <t>Busy vs on-shift partners and delivery time by market</t>
        </is>
      </c>
      <c r="C23" s="5" t="inlineStr">
        <is>
          <t>Busy ratio vs delivery r = 0.16; at 95%+ busy deliveries take about 11 min longer than at 50% or less. Market 1 has highest ratio and slowest delivery.</t>
        </is>
      </c>
      <c r="D23" s="5" t="inlineStr">
        <is>
          <t>Recruit/schedule more partners in markets 1-2.</t>
        </is>
      </c>
    </row>
    <row r="24" ht="42" customHeight="1">
      <c r="A24" s="5" t="inlineStr">
        <is>
          <t>M10</t>
        </is>
      </c>
      <c r="B24" s="5" t="inlineStr">
        <is>
          <t>First-time vs repeat customers</t>
        </is>
      </c>
      <c r="C24" s="5" t="inlineStr">
        <is>
          <t>Cannot be answered: the dataset has no customer ID.</t>
        </is>
      </c>
      <c r="D24" s="5" t="inlineStr">
        <is>
          <t>Provide customer_id to complete this question.</t>
        </is>
      </c>
    </row>
    <row r="26" ht="44.5" customHeight="1">
      <c r="A26" s="6" t="inlineStr">
        <is>
          <t>B = basic-level question, M = medium-level question (numbered as they appear on the question sheets). Overall story: the clearest signals are partner utilisation (busy ratio) and the day of the week; order contents and market explain only a small part of delivery time, and most of the variation is not explained by this data (there is no distance or restaurant prep-time information).</t>
        </is>
      </c>
    </row>
  </sheetData>
  <mergeCells count="2">
    <mergeCell ref="A26:D26"/>
    <mergeCell ref="A2:D2"/>
  </mergeCells>
  <pageMargins left="0.75" right="0.75" top="1" bottom="1" header="0.5" footer="0.5"/>
</worksheet>
</file>

<file path=xl/worksheets/sheet2.xml><?xml version="1.0" encoding="utf-8"?>
<worksheet xmlns="http://schemas.openxmlformats.org/spreadsheetml/2006/main">
  <sheetPr>
    <tabColor rgb="007F7F7F"/>
    <outlinePr summaryBelow="1" summaryRight="1"/>
    <pageSetUpPr/>
  </sheetPr>
  <dimension ref="A1:C31"/>
  <sheetViews>
    <sheetView showGridLines="0" workbookViewId="0">
      <selection activeCell="A1" sqref="A1"/>
    </sheetView>
  </sheetViews>
  <sheetFormatPr baseColWidth="8" defaultRowHeight="15"/>
  <cols>
    <col width="34" customWidth="1" min="1" max="1"/>
    <col width="16" customWidth="1" min="2" max="2"/>
    <col width="70" customWidth="1" min="3" max="3"/>
  </cols>
  <sheetData>
    <row r="1" ht="26" customHeight="1">
      <c r="A1" s="1" t="inlineStr">
        <is>
          <t>Data cleaning and new features</t>
        </is>
      </c>
      <c r="B1" s="2" t="n"/>
      <c r="C1" s="2" t="n"/>
    </row>
    <row r="2" ht="31" customHeight="1">
      <c r="A2" s="3" t="inlineStr">
        <is>
          <t>Source: dataset.csv (Porter delivery data) - one row per delivery, 29 calendar days. Cleaned file with the new columns: Porter_cleaned.csv</t>
        </is>
      </c>
    </row>
    <row r="5">
      <c r="A5" s="7" t="inlineStr">
        <is>
          <t>Issues found and what was done</t>
        </is>
      </c>
      <c r="B5" s="8" t="n"/>
      <c r="C5" s="8" t="n"/>
    </row>
    <row r="6" ht="30" customHeight="1">
      <c r="A6" s="4" t="inlineStr">
        <is>
          <t>Issue</t>
        </is>
      </c>
      <c r="B6" s="4" t="inlineStr">
        <is>
          <t>Rows</t>
        </is>
      </c>
      <c r="C6" s="4" t="inlineStr">
        <is>
          <t>Action</t>
        </is>
      </c>
    </row>
    <row r="7">
      <c r="A7" s="9" t="inlineStr">
        <is>
          <t>Rows in raw file</t>
        </is>
      </c>
      <c r="B7" s="10" t="n">
        <v>197428</v>
      </c>
      <c r="C7" s="9" t="inlineStr">
        <is>
          <t>-</t>
        </is>
      </c>
    </row>
    <row r="8">
      <c r="A8" s="9" t="inlineStr">
        <is>
          <t>Missing delivery time</t>
        </is>
      </c>
      <c r="B8" s="10" t="n">
        <v>7</v>
      </c>
      <c r="C8" s="9" t="inlineStr">
        <is>
          <t>Removed (delivery time cannot be calculated)</t>
        </is>
      </c>
    </row>
    <row r="9">
      <c r="A9" s="9" t="inlineStr">
        <is>
          <t>Impossible delivery time (&gt; 24 hours)</t>
        </is>
      </c>
      <c r="B9" s="10" t="n">
        <v>3</v>
      </c>
      <c r="C9" s="9" t="inlineStr">
        <is>
          <t>Removed (e.g. one order took 98 days = clearly a recording error)</t>
        </is>
      </c>
    </row>
    <row r="10">
      <c r="A10" s="9" t="inlineStr">
        <is>
          <t>Rows used in analysis</t>
        </is>
      </c>
      <c r="B10" s="10" t="n">
        <v>197418</v>
      </c>
      <c r="C10" s="9" t="inlineStr">
        <is>
          <t>99.99% of raw rows kept</t>
        </is>
      </c>
    </row>
    <row r="11">
      <c r="A11" s="9" t="inlineStr">
        <is>
          <t>Missing market_id</t>
        </is>
      </c>
      <c r="B11" s="10" t="n">
        <v>987</v>
      </c>
      <c r="C11" s="9" t="inlineStr">
        <is>
          <t>Kept; shown as blank and left out of market-level tables only</t>
        </is>
      </c>
    </row>
    <row r="12">
      <c r="A12" s="9" t="inlineStr">
        <is>
          <t>Missing store_primary_category</t>
        </is>
      </c>
      <c r="B12" s="10" t="n">
        <v>4760</v>
      </c>
      <c r="C12" s="9" t="inlineStr">
        <is>
          <t>Filled with "unknown"</t>
        </is>
      </c>
    </row>
    <row r="13">
      <c r="A13" s="9" t="inlineStr">
        <is>
          <t>Missing order_protocol</t>
        </is>
      </c>
      <c r="B13" s="10" t="n">
        <v>995</v>
      </c>
      <c r="C13" s="9" t="inlineStr">
        <is>
          <t>Kept; left out of protocol table only</t>
        </is>
      </c>
    </row>
    <row r="14">
      <c r="A14" s="9" t="inlineStr">
        <is>
          <t>Missing partner counts (onshift / busy / outstanding)</t>
        </is>
      </c>
      <c r="B14" s="10" t="n">
        <v>16262</v>
      </c>
      <c r="C14" s="9" t="inlineStr">
        <is>
          <t>Kept; left out of partner analyses only (not imputed - avoids inventing numbers)</t>
        </is>
      </c>
    </row>
    <row r="15">
      <c r="A15" s="9" t="inlineStr">
        <is>
          <t>Negative partner / outstanding counts</t>
        </is>
      </c>
      <c r="B15" s="10" t="n">
        <v>86</v>
      </c>
      <c r="C15" s="9" t="inlineStr">
        <is>
          <t>Impossible values set to blank</t>
        </is>
      </c>
    </row>
    <row r="16">
      <c r="A16" s="9" t="inlineStr">
        <is>
          <t>Negative min_item_price</t>
        </is>
      </c>
      <c r="B16" s="10" t="n">
        <v>13</v>
      </c>
      <c r="C16" s="9" t="inlineStr">
        <is>
          <t>Set to blank</t>
        </is>
      </c>
    </row>
    <row r="17">
      <c r="A17" s="9" t="inlineStr">
        <is>
          <t>min_item_price &gt; max_item_price</t>
        </is>
      </c>
      <c r="B17" s="10" t="n">
        <v>800</v>
      </c>
      <c r="C17" s="9" t="inlineStr">
        <is>
          <t>Price range left blank for these rows</t>
        </is>
      </c>
    </row>
    <row r="18">
      <c r="A18" s="9" t="inlineStr">
        <is>
          <t>Subtotal = 0</t>
        </is>
      </c>
      <c r="B18" s="10" t="n">
        <v>179</v>
      </c>
      <c r="C18" s="9" t="inlineStr">
        <is>
          <t>Left out of the average-order-value / above-average analysis</t>
        </is>
      </c>
    </row>
    <row r="19">
      <c r="A19" s="9" t="inlineStr">
        <is>
          <t>Delivery time &gt; 180 min</t>
        </is>
      </c>
      <c r="B19" s="10" t="n">
        <v>138</v>
      </c>
      <c r="C19" s="9" t="inlineStr">
        <is>
          <t>Kept in all tables (flagged as outliers); left out of the regression only</t>
        </is>
      </c>
    </row>
    <row r="21">
      <c r="A21" s="7" t="inlineStr">
        <is>
          <t>New columns created</t>
        </is>
      </c>
      <c r="B21" s="8" t="n"/>
      <c r="C21" s="8" t="n"/>
    </row>
    <row r="22" ht="30" customHeight="1">
      <c r="A22" s="4" t="inlineStr">
        <is>
          <t>Column</t>
        </is>
      </c>
      <c r="B22" s="4" t="inlineStr"/>
      <c r="C22" s="4" t="inlineStr">
        <is>
          <t>Definition</t>
        </is>
      </c>
    </row>
    <row r="23">
      <c r="A23" s="9" t="inlineStr">
        <is>
          <t>delivery_min</t>
        </is>
      </c>
      <c r="B23" s="9" t="inlineStr"/>
      <c r="C23" s="9" t="inlineStr">
        <is>
          <t>actual_delivery_time - created_at, in minutes</t>
        </is>
      </c>
    </row>
    <row r="24">
      <c r="A24" s="9" t="inlineStr">
        <is>
          <t>hour</t>
        </is>
      </c>
      <c r="B24" s="9" t="inlineStr"/>
      <c r="C24" s="9" t="inlineStr">
        <is>
          <t>Hour of day (0-23) of created_at</t>
        </is>
      </c>
    </row>
    <row r="25">
      <c r="A25" s="9" t="inlineStr">
        <is>
          <t>dow</t>
        </is>
      </c>
      <c r="B25" s="9" t="inlineStr"/>
      <c r="C25" s="9" t="inlineStr">
        <is>
          <t>Day of week of created_at</t>
        </is>
      </c>
    </row>
    <row r="26">
      <c r="A26" s="9" t="inlineStr">
        <is>
          <t>within30</t>
        </is>
      </c>
      <c r="B26" s="9" t="inlineStr"/>
      <c r="C26" s="9" t="inlineStr">
        <is>
          <t>TRUE if delivered within 30 minutes</t>
        </is>
      </c>
    </row>
    <row r="27">
      <c r="A27" s="9" t="inlineStr">
        <is>
          <t>price_range</t>
        </is>
      </c>
      <c r="B27" s="9" t="inlineStr"/>
      <c r="C27" s="9" t="inlineStr">
        <is>
          <t>max_item_price - min_item_price</t>
        </is>
      </c>
    </row>
    <row r="28">
      <c r="A28" s="9" t="inlineStr">
        <is>
          <t>busy_ratio</t>
        </is>
      </c>
      <c r="B28" s="9" t="inlineStr"/>
      <c r="C28" s="9" t="inlineStr">
        <is>
          <t>total_busy_partners / total_onshift_partners</t>
        </is>
      </c>
    </row>
    <row r="30">
      <c r="A30" s="7" t="inlineStr">
        <is>
          <t>Things to know when reading the results</t>
        </is>
      </c>
      <c r="B30" s="8" t="n"/>
      <c r="C30" s="8" t="n"/>
    </row>
    <row r="31" ht="85" customHeight="1">
      <c r="A31" s="11" t="inlineStr">
        <is>
          <t>1) Times are as recorded in the file. The busiest hours are 1-3 (night), which suggests the timestamps are in UTC (that would be early evening in the US). Treat "hour" as recorded hour, not necessarily local time.
2) subtotal is in the units given (likely cents: a median of 2,200 would be $22.00). Only relative comparisons are used.
3) The data covers only 29 calendar days (21 Jan - 18 Feb 2015); the first and last days are partial. Weekday volumes are therefore also shown per full calendar day, and seasonal patterns (months, holidays) cannot be studied.
4) Results are static values calculated with Python on all 197k rows (too large for live Excel formulas).</t>
        </is>
      </c>
    </row>
  </sheetData>
  <mergeCells count="2">
    <mergeCell ref="A31:C31"/>
    <mergeCell ref="A2:C2"/>
  </mergeCell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H21"/>
  <sheetViews>
    <sheetView showGridLines="0" workbookViewId="0">
      <selection activeCell="A1" sqref="A1"/>
    </sheetView>
  </sheetViews>
  <sheetFormatPr baseColWidth="8" defaultRowHeight="15"/>
  <cols>
    <col width="26" customWidth="1" min="1" max="1"/>
    <col width="14" customWidth="1" min="2" max="2"/>
    <col width="16" customWidth="1" min="3" max="3"/>
    <col width="18" customWidth="1" min="4" max="4"/>
    <col width="16" customWidth="1" min="5" max="5"/>
    <col width="16" customWidth="1" min="6" max="6"/>
    <col width="16" customWidth="1" min="7" max="7"/>
    <col width="16" customWidth="1" min="8" max="8"/>
  </cols>
  <sheetData>
    <row r="1" ht="26" customHeight="1">
      <c r="A1" s="1" t="inlineStr">
        <is>
          <t>Markets: volume, order value and delivery time</t>
        </is>
      </c>
      <c r="B1" s="2" t="n"/>
      <c r="C1" s="2" t="n"/>
      <c r="D1" s="2" t="n"/>
      <c r="E1" s="2" t="n"/>
      <c r="F1" s="2" t="n"/>
      <c r="G1" s="2" t="n"/>
      <c r="H1" s="2" t="n"/>
    </row>
    <row r="4">
      <c r="A4" s="7" t="inlineStr">
        <is>
          <t>Basic Q1 - Distribution of order volume across markets</t>
        </is>
      </c>
      <c r="B4" s="8" t="n"/>
      <c r="C4" s="8" t="n"/>
      <c r="D4" s="8" t="n"/>
      <c r="E4" s="8" t="n"/>
      <c r="F4" s="8" t="n"/>
      <c r="G4" s="8" t="n"/>
      <c r="H4" s="8" t="n"/>
    </row>
    <row r="5" ht="30" customHeight="1">
      <c r="A5" s="4" t="inlineStr">
        <is>
          <t>Market</t>
        </is>
      </c>
      <c r="B5" s="4" t="inlineStr">
        <is>
          <t>Orders</t>
        </is>
      </c>
      <c r="C5" s="4" t="inlineStr">
        <is>
          <t>Share of orders</t>
        </is>
      </c>
      <c r="D5" s="4" t="inlineStr">
        <is>
          <t>Avg order value (subtotal)</t>
        </is>
      </c>
      <c r="E5" s="4" t="inlineStr">
        <is>
          <t>Avg delivery (min)</t>
        </is>
      </c>
      <c r="F5" s="4" t="inlineStr">
        <is>
          <t>Median delivery (min)</t>
        </is>
      </c>
      <c r="G5" s="4" t="inlineStr">
        <is>
          <t>Std dev (min)</t>
        </is>
      </c>
      <c r="H5" s="4" t="inlineStr">
        <is>
          <t>IQR (min)</t>
        </is>
      </c>
    </row>
    <row r="6">
      <c r="A6" s="9" t="inlineStr">
        <is>
          <t>1</t>
        </is>
      </c>
      <c r="B6" s="10" t="n">
        <v>38035</v>
      </c>
      <c r="C6" s="12" t="n">
        <v>0.1936303332976974</v>
      </c>
      <c r="D6" s="10" t="n">
        <v>2744.355540949126</v>
      </c>
      <c r="E6" s="13" t="n">
        <v>51.33164935804741</v>
      </c>
      <c r="F6" s="13" t="n">
        <v>46.9</v>
      </c>
      <c r="G6" s="13" t="n">
        <v>22.43697699048114</v>
      </c>
      <c r="H6" s="13" t="n">
        <v>25.28333333333334</v>
      </c>
    </row>
    <row r="7">
      <c r="A7" s="9" t="inlineStr">
        <is>
          <t>2</t>
        </is>
      </c>
      <c r="B7" s="10" t="n">
        <v>55055</v>
      </c>
      <c r="C7" s="12" t="n">
        <v>0.2802765347628429</v>
      </c>
      <c r="D7" s="10" t="n">
        <v>2632.495304695305</v>
      </c>
      <c r="E7" s="13" t="n">
        <v>46.07366118729755</v>
      </c>
      <c r="F7" s="13" t="n">
        <v>43.35</v>
      </c>
      <c r="G7" s="13" t="n">
        <v>17.95484037002544</v>
      </c>
      <c r="H7" s="13" t="n">
        <v>19.41666666666667</v>
      </c>
    </row>
    <row r="8">
      <c r="A8" s="9" t="inlineStr">
        <is>
          <t>3</t>
        </is>
      </c>
      <c r="B8" s="10" t="n">
        <v>23296</v>
      </c>
      <c r="C8" s="12" t="n">
        <v>0.1185963518996492</v>
      </c>
      <c r="D8" s="10" t="n">
        <v>2575.737208104395</v>
      </c>
      <c r="E8" s="13" t="n">
        <v>47.69518515338828</v>
      </c>
      <c r="F8" s="13" t="n">
        <v>44.1</v>
      </c>
      <c r="G8" s="13" t="n">
        <v>19.93232070394058</v>
      </c>
      <c r="H8" s="13" t="n">
        <v>21.13333333333333</v>
      </c>
    </row>
    <row r="9">
      <c r="A9" s="9" t="inlineStr">
        <is>
          <t>4</t>
        </is>
      </c>
      <c r="B9" s="10" t="n">
        <v>47596</v>
      </c>
      <c r="C9" s="12" t="n">
        <v>0.2423039133334352</v>
      </c>
      <c r="D9" s="10" t="n">
        <v>2896.366102193462</v>
      </c>
      <c r="E9" s="13" t="n">
        <v>47.23653633358545</v>
      </c>
      <c r="F9" s="13" t="n">
        <v>44.40833333333333</v>
      </c>
      <c r="G9" s="13" t="n">
        <v>18.16810808210335</v>
      </c>
      <c r="H9" s="13" t="n">
        <v>20.95</v>
      </c>
    </row>
    <row r="10">
      <c r="A10" s="9" t="inlineStr">
        <is>
          <t>5</t>
        </is>
      </c>
      <c r="B10" s="10" t="n">
        <v>17999</v>
      </c>
      <c r="C10" s="12" t="n">
        <v>0.09163013984554373</v>
      </c>
      <c r="D10" s="10" t="n">
        <v>2412.010167231513</v>
      </c>
      <c r="E10" s="13" t="n">
        <v>46.49543493157027</v>
      </c>
      <c r="F10" s="13" t="n">
        <v>43.41666666666666</v>
      </c>
      <c r="G10" s="13" t="n">
        <v>17.87564874724625</v>
      </c>
      <c r="H10" s="13" t="n">
        <v>20.25833333333333</v>
      </c>
    </row>
    <row r="11">
      <c r="A11" s="9" t="inlineStr">
        <is>
          <t>6</t>
        </is>
      </c>
      <c r="B11" s="10" t="n">
        <v>14450</v>
      </c>
      <c r="C11" s="12" t="n">
        <v>0.07356272686083154</v>
      </c>
      <c r="D11" s="10" t="n">
        <v>2512.986366782007</v>
      </c>
      <c r="E11" s="13" t="n">
        <v>47.25862629757786</v>
      </c>
      <c r="F11" s="13" t="n">
        <v>43.59166666666667</v>
      </c>
      <c r="G11" s="13" t="n">
        <v>19.80034672038074</v>
      </c>
      <c r="H11" s="13" t="n">
        <v>21.23333333333333</v>
      </c>
    </row>
    <row r="12" ht="31" customHeight="1">
      <c r="A12" s="11" t="inlineStr">
        <is>
          <t>987 orders have no market_id and are excluded here. Market 2 has the most orders (28.0%), then market 4 (24.2%); market 6 is the smallest (7.4%).</t>
        </is>
      </c>
    </row>
    <row r="13" ht="31" customHeight="1">
      <c r="A13" s="14" t="inlineStr">
        <is>
          <t>Business insight: Markets 2 and 4 together carry about half of all orders, so they should get priority for partner supply and marketing; the small markets (5, 6) are growth candidates.</t>
        </is>
      </c>
    </row>
    <row r="15">
      <c r="A15" s="7" t="inlineStr">
        <is>
          <t>Medium Q - How does average order value vary by market?</t>
        </is>
      </c>
      <c r="B15" s="8" t="n"/>
      <c r="C15" s="8" t="n"/>
      <c r="D15" s="8" t="n"/>
      <c r="E15" s="8" t="n"/>
      <c r="F15" s="8" t="n"/>
      <c r="G15" s="8" t="n"/>
      <c r="H15" s="8" t="n"/>
    </row>
    <row r="16" ht="17.5" customHeight="1">
      <c r="A16" s="11" t="inlineStr">
        <is>
          <t>Average subtotal ranges from 2,412 (market 5) to 2,896 (market 4) - about 20% higher in the top market (see the table above).</t>
        </is>
      </c>
    </row>
    <row r="17" ht="31" customHeight="1">
      <c r="A17" s="14" t="inlineStr">
        <is>
          <t>Business insight: Market 4 customers spend most per order: good target for premium menus and bundles. Market 5 has the lowest basket: use add-on offers and minimum-order promotions.</t>
        </is>
      </c>
    </row>
    <row r="19">
      <c r="A19" s="7" t="inlineStr">
        <is>
          <t>Variance of delivery time within markets (Medium Q)</t>
        </is>
      </c>
      <c r="B19" s="8" t="n"/>
      <c r="C19" s="8" t="n"/>
      <c r="D19" s="8" t="n"/>
      <c r="E19" s="8" t="n"/>
      <c r="F19" s="8" t="n"/>
      <c r="G19" s="8" t="n"/>
      <c r="H19" s="8" t="n"/>
    </row>
    <row r="20" ht="44.5" customHeight="1">
      <c r="A20" s="11" t="inlineStr">
        <is>
          <t>Market 1 is both the slowest (avg 51.3 min) and the most variable (std 22.4 min); the others are 46-48 min with std 18-20. Statistically the markets differ (Levene p &lt; 0.001), but with ~200k orders almost any difference is "significant". Practically, market explains only 0.9% of the variation in delivery time - orders inside the same market differ far more than markets differ from each other.</t>
        </is>
      </c>
    </row>
    <row r="21" ht="31" customHeight="1">
      <c r="A21" s="14" t="inlineStr">
        <is>
          <t>Business insight: Market 1 has inconsistent service (long and unpredictable deliveries) - the first place to look at partner coverage and restaurant prep times.</t>
        </is>
      </c>
    </row>
  </sheetData>
  <mergeCells count="6">
    <mergeCell ref="A12:H12"/>
    <mergeCell ref="A21:H21"/>
    <mergeCell ref="A20:H20"/>
    <mergeCell ref="A16:H16"/>
    <mergeCell ref="A13:H13"/>
    <mergeCell ref="A17:H17"/>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tabColor rgb="00548235"/>
    <outlinePr summaryBelow="1" summaryRight="1"/>
    <pageSetUpPr/>
  </sheetPr>
  <dimension ref="A1:G169"/>
  <sheetViews>
    <sheetView showGridLines="0" workbookViewId="0">
      <selection activeCell="A1" sqref="A1"/>
    </sheetView>
  </sheetViews>
  <sheetFormatPr baseColWidth="8" defaultRowHeight="15"/>
  <cols>
    <col width="22" customWidth="1" min="1" max="1"/>
    <col width="12" customWidth="1" min="2" max="2"/>
    <col width="16" customWidth="1" min="3" max="3"/>
    <col width="16" customWidth="1" min="4" max="4"/>
    <col width="14" customWidth="1" min="5" max="5"/>
    <col width="18" customWidth="1" min="6" max="6"/>
    <col width="18" customWidth="1" min="7" max="7"/>
  </cols>
  <sheetData>
    <row r="1" ht="26" customHeight="1">
      <c r="A1" s="1" t="inlineStr">
        <is>
          <t>Store primary categories</t>
        </is>
      </c>
      <c r="B1" s="2" t="n"/>
      <c r="C1" s="2" t="n"/>
      <c r="D1" s="2" t="n"/>
      <c r="E1" s="2" t="n"/>
      <c r="F1" s="2" t="n"/>
      <c r="G1" s="2" t="n"/>
    </row>
    <row r="2" ht="17.5" customHeight="1">
      <c r="A2" s="3" t="inlineStr">
        <is>
          <t>74 categories (plus "unknown"). Small categories are noisy, so highlights use categories with at least 500 orders.</t>
        </is>
      </c>
    </row>
    <row r="5">
      <c r="A5" s="7" t="inlineStr">
        <is>
          <t>Basic Q2 - Average delivery time by category (categories with 500+ orders, fastest to slowest)</t>
        </is>
      </c>
      <c r="B5" s="8" t="n"/>
      <c r="C5" s="8" t="n"/>
      <c r="D5" s="8" t="n"/>
      <c r="E5" s="8" t="n"/>
      <c r="F5" s="8" t="n"/>
      <c r="G5" s="8" t="n"/>
    </row>
    <row r="6" ht="30" customHeight="1">
      <c r="A6" s="4" t="inlineStr">
        <is>
          <t>Category</t>
        </is>
      </c>
      <c r="B6" s="4" t="inlineStr">
        <is>
          <t>Orders</t>
        </is>
      </c>
      <c r="C6" s="4" t="inlineStr">
        <is>
          <t>Avg delivery (min)</t>
        </is>
      </c>
      <c r="D6" s="4" t="inlineStr">
        <is>
          <t>Median (min)</t>
        </is>
      </c>
      <c r="E6" s="4" t="inlineStr">
        <is>
          <t>Std dev (min)</t>
        </is>
      </c>
    </row>
    <row r="7">
      <c r="A7" s="9" t="inlineStr">
        <is>
          <t>fast</t>
        </is>
      </c>
      <c r="B7" s="10" t="n">
        <v>7371</v>
      </c>
      <c r="C7" s="13" t="n">
        <v>43.8536064758287</v>
      </c>
      <c r="D7" s="13" t="n">
        <v>40.18333333333333</v>
      </c>
      <c r="E7" s="13" t="n">
        <v>19.05283758198195</v>
      </c>
    </row>
    <row r="8">
      <c r="A8" s="9" t="inlineStr">
        <is>
          <t>mexican</t>
        </is>
      </c>
      <c r="B8" s="10" t="n">
        <v>17098</v>
      </c>
      <c r="C8" s="13" t="n">
        <v>44.54686805474324</v>
      </c>
      <c r="D8" s="13" t="n">
        <v>41.35</v>
      </c>
      <c r="E8" s="13" t="n">
        <v>17.9913391655306</v>
      </c>
    </row>
    <row r="9">
      <c r="A9" s="9" t="inlineStr">
        <is>
          <t>smoothie</t>
        </is>
      </c>
      <c r="B9" s="10" t="n">
        <v>1659</v>
      </c>
      <c r="C9" s="13" t="n">
        <v>44.69100863974282</v>
      </c>
      <c r="D9" s="13" t="n">
        <v>40.95</v>
      </c>
      <c r="E9" s="13" t="n">
        <v>20.31268484358672</v>
      </c>
    </row>
    <row r="10">
      <c r="A10" s="9" t="inlineStr">
        <is>
          <t>sandwich</t>
        </is>
      </c>
      <c r="B10" s="10" t="n">
        <v>10059</v>
      </c>
      <c r="C10" s="13" t="n">
        <v>44.76070185903171</v>
      </c>
      <c r="D10" s="13" t="n">
        <v>41.38333333333333</v>
      </c>
      <c r="E10" s="13" t="n">
        <v>18.26954847626904</v>
      </c>
    </row>
    <row r="11">
      <c r="A11" s="9" t="inlineStr">
        <is>
          <t>alcohol</t>
        </is>
      </c>
      <c r="B11" s="10" t="n">
        <v>1850</v>
      </c>
      <c r="C11" s="13" t="n">
        <v>44.95881981981982</v>
      </c>
      <c r="D11" s="13" t="n">
        <v>41.275</v>
      </c>
      <c r="E11" s="13" t="n">
        <v>22.18908961208637</v>
      </c>
    </row>
    <row r="12">
      <c r="A12" s="9" t="inlineStr">
        <is>
          <t>breakfast</t>
        </is>
      </c>
      <c r="B12" s="10" t="n">
        <v>5425</v>
      </c>
      <c r="C12" s="13" t="n">
        <v>44.99011059907834</v>
      </c>
      <c r="D12" s="13" t="n">
        <v>41.25</v>
      </c>
      <c r="E12" s="13" t="n">
        <v>19.29757696491209</v>
      </c>
    </row>
    <row r="13">
      <c r="A13" s="9" t="inlineStr">
        <is>
          <t>hawaiian</t>
        </is>
      </c>
      <c r="B13" s="10" t="n">
        <v>1499</v>
      </c>
      <c r="C13" s="13" t="n">
        <v>45.32595063375584</v>
      </c>
      <c r="D13" s="13" t="n">
        <v>41.9</v>
      </c>
      <c r="E13" s="13" t="n">
        <v>17.7099187979653</v>
      </c>
    </row>
    <row r="14">
      <c r="A14" s="9" t="inlineStr">
        <is>
          <t>vietnamese</t>
        </is>
      </c>
      <c r="B14" s="10" t="n">
        <v>6095</v>
      </c>
      <c r="C14" s="13" t="n">
        <v>45.34472791905933</v>
      </c>
      <c r="D14" s="13" t="n">
        <v>42.43333333333333</v>
      </c>
      <c r="E14" s="13" t="n">
        <v>17.37780294604684</v>
      </c>
    </row>
    <row r="15">
      <c r="A15" s="9" t="inlineStr">
        <is>
          <t>persian</t>
        </is>
      </c>
      <c r="B15" s="10" t="n">
        <v>607</v>
      </c>
      <c r="C15" s="13" t="n">
        <v>45.81669412410763</v>
      </c>
      <c r="D15" s="13" t="n">
        <v>41.75</v>
      </c>
      <c r="E15" s="13" t="n">
        <v>16.30430528504647</v>
      </c>
    </row>
    <row r="16">
      <c r="A16" s="9" t="inlineStr">
        <is>
          <t>cafe</t>
        </is>
      </c>
      <c r="B16" s="10" t="n">
        <v>2229</v>
      </c>
      <c r="C16" s="13" t="n">
        <v>45.84589502018842</v>
      </c>
      <c r="D16" s="13" t="n">
        <v>42.3</v>
      </c>
      <c r="E16" s="13" t="n">
        <v>22.04293696834092</v>
      </c>
    </row>
    <row r="17">
      <c r="A17" s="9" t="inlineStr">
        <is>
          <t>french</t>
        </is>
      </c>
      <c r="B17" s="10" t="n">
        <v>575</v>
      </c>
      <c r="C17" s="13" t="n">
        <v>45.84663768115942</v>
      </c>
      <c r="D17" s="13" t="n">
        <v>42.23333333333333</v>
      </c>
      <c r="E17" s="13" t="n">
        <v>16.25868802856825</v>
      </c>
    </row>
    <row r="18">
      <c r="A18" s="9" t="inlineStr">
        <is>
          <t>other</t>
        </is>
      </c>
      <c r="B18" s="10" t="n">
        <v>3988</v>
      </c>
      <c r="C18" s="13" t="n">
        <v>46.12634988298228</v>
      </c>
      <c r="D18" s="13" t="n">
        <v>42.775</v>
      </c>
      <c r="E18" s="13" t="n">
        <v>18.30484010913388</v>
      </c>
    </row>
    <row r="19">
      <c r="A19" s="9" t="inlineStr">
        <is>
          <t>vegetarian</t>
        </is>
      </c>
      <c r="B19" s="10" t="n">
        <v>845</v>
      </c>
      <c r="C19" s="13" t="n">
        <v>46.6630966469428</v>
      </c>
      <c r="D19" s="13" t="n">
        <v>43.51666666666667</v>
      </c>
      <c r="E19" s="13" t="n">
        <v>17.72440504053116</v>
      </c>
    </row>
    <row r="20">
      <c r="A20" s="9" t="inlineStr">
        <is>
          <t>mediterranean</t>
        </is>
      </c>
      <c r="B20" s="10" t="n">
        <v>5512</v>
      </c>
      <c r="C20" s="13" t="n">
        <v>46.93026427189163</v>
      </c>
      <c r="D20" s="13" t="n">
        <v>43.24166666666667</v>
      </c>
      <c r="E20" s="13" t="n">
        <v>20.48532600985849</v>
      </c>
    </row>
    <row r="21">
      <c r="A21" s="9" t="inlineStr">
        <is>
          <t>burger</t>
        </is>
      </c>
      <c r="B21" s="10" t="n">
        <v>10958</v>
      </c>
      <c r="C21" s="13" t="n">
        <v>47.17541370079699</v>
      </c>
      <c r="D21" s="13" t="n">
        <v>43.95</v>
      </c>
      <c r="E21" s="13" t="n">
        <v>19.8156495646824</v>
      </c>
    </row>
    <row r="22">
      <c r="A22" s="9" t="inlineStr">
        <is>
          <t>asian</t>
        </is>
      </c>
      <c r="B22" s="10" t="n">
        <v>2449</v>
      </c>
      <c r="C22" s="13" t="n">
        <v>47.27109024091466</v>
      </c>
      <c r="D22" s="13" t="n">
        <v>44.48333333333333</v>
      </c>
      <c r="E22" s="13" t="n">
        <v>17.44761830372999</v>
      </c>
    </row>
    <row r="23">
      <c r="A23" s="9" t="inlineStr">
        <is>
          <t>bubble-tea</t>
        </is>
      </c>
      <c r="B23" s="10" t="n">
        <v>519</v>
      </c>
      <c r="C23" s="13" t="n">
        <v>47.27443802183686</v>
      </c>
      <c r="D23" s="13" t="n">
        <v>44.68333333333333</v>
      </c>
      <c r="E23" s="13" t="n">
        <v>16.70947567096544</v>
      </c>
    </row>
    <row r="24">
      <c r="A24" s="9" t="inlineStr">
        <is>
          <t>pasta</t>
        </is>
      </c>
      <c r="B24" s="10" t="n">
        <v>633</v>
      </c>
      <c r="C24" s="13" t="n">
        <v>47.41711427066877</v>
      </c>
      <c r="D24" s="13" t="n">
        <v>44.81666666666667</v>
      </c>
      <c r="E24" s="13" t="n">
        <v>16.00723649841569</v>
      </c>
    </row>
    <row r="25">
      <c r="A25" s="9" t="inlineStr">
        <is>
          <t>seafood</t>
        </is>
      </c>
      <c r="B25" s="10" t="n">
        <v>2730</v>
      </c>
      <c r="C25" s="13" t="n">
        <v>47.46425518925519</v>
      </c>
      <c r="D25" s="13" t="n">
        <v>44.08333333333334</v>
      </c>
      <c r="E25" s="13" t="n">
        <v>18.00514595657899</v>
      </c>
    </row>
    <row r="26">
      <c r="A26" s="9" t="inlineStr">
        <is>
          <t>greek</t>
        </is>
      </c>
      <c r="B26" s="10" t="n">
        <v>3326</v>
      </c>
      <c r="C26" s="13" t="n">
        <v>47.54425736620566</v>
      </c>
      <c r="D26" s="13" t="n">
        <v>44.9</v>
      </c>
      <c r="E26" s="13" t="n">
        <v>17.38373792145059</v>
      </c>
    </row>
    <row r="27">
      <c r="A27" s="9" t="inlineStr">
        <is>
          <t>dim-sum</t>
        </is>
      </c>
      <c r="B27" s="10" t="n">
        <v>1112</v>
      </c>
      <c r="C27" s="13" t="n">
        <v>47.55377697841727</v>
      </c>
      <c r="D27" s="13" t="n">
        <v>44.66666666666666</v>
      </c>
      <c r="E27" s="13" t="n">
        <v>16.68536042008852</v>
      </c>
    </row>
    <row r="28">
      <c r="A28" s="9" t="inlineStr">
        <is>
          <t>barbecue</t>
        </is>
      </c>
      <c r="B28" s="10" t="n">
        <v>2722</v>
      </c>
      <c r="C28" s="13" t="n">
        <v>47.5847293656625</v>
      </c>
      <c r="D28" s="13" t="n">
        <v>44.475</v>
      </c>
      <c r="E28" s="13" t="n">
        <v>17.44950402119789</v>
      </c>
    </row>
    <row r="29">
      <c r="A29" s="9" t="inlineStr">
        <is>
          <t>american</t>
        </is>
      </c>
      <c r="B29" s="10" t="n">
        <v>19399</v>
      </c>
      <c r="C29" s="13" t="n">
        <v>47.75861900097943</v>
      </c>
      <c r="D29" s="13" t="n">
        <v>44.36666666666667</v>
      </c>
      <c r="E29" s="13" t="n">
        <v>18.85147847855411</v>
      </c>
    </row>
    <row r="30">
      <c r="A30" s="9" t="inlineStr">
        <is>
          <t>latin-american</t>
        </is>
      </c>
      <c r="B30" s="10" t="n">
        <v>520</v>
      </c>
      <c r="C30" s="13" t="n">
        <v>47.84487179487179</v>
      </c>
      <c r="D30" s="13" t="n">
        <v>43.98333333333333</v>
      </c>
      <c r="E30" s="13" t="n">
        <v>18.06644517376544</v>
      </c>
    </row>
    <row r="31">
      <c r="A31" s="9" t="inlineStr">
        <is>
          <t>middle-eastern</t>
        </is>
      </c>
      <c r="B31" s="10" t="n">
        <v>1501</v>
      </c>
      <c r="C31" s="13" t="n">
        <v>48.01827670441928</v>
      </c>
      <c r="D31" s="13" t="n">
        <v>45.23333333333333</v>
      </c>
      <c r="E31" s="13" t="n">
        <v>18.02775469777329</v>
      </c>
    </row>
    <row r="32">
      <c r="A32" s="9" t="inlineStr">
        <is>
          <t>chinese</t>
        </is>
      </c>
      <c r="B32" s="10" t="n">
        <v>9421</v>
      </c>
      <c r="C32" s="13" t="n">
        <v>48.06765028482468</v>
      </c>
      <c r="D32" s="13" t="n">
        <v>44.73333333333333</v>
      </c>
      <c r="E32" s="13" t="n">
        <v>18.69007141655967</v>
      </c>
    </row>
    <row r="33">
      <c r="A33" s="9" t="inlineStr">
        <is>
          <t>dessert</t>
        </is>
      </c>
      <c r="B33" s="10" t="n">
        <v>8771</v>
      </c>
      <c r="C33" s="13" t="n">
        <v>48.08656747615247</v>
      </c>
      <c r="D33" s="13" t="n">
        <v>44.4</v>
      </c>
      <c r="E33" s="13" t="n">
        <v>20.40756134487016</v>
      </c>
    </row>
    <row r="34">
      <c r="A34" s="9" t="inlineStr">
        <is>
          <t>korean</t>
        </is>
      </c>
      <c r="B34" s="10" t="n">
        <v>1813</v>
      </c>
      <c r="C34" s="13" t="n">
        <v>48.2638720353006</v>
      </c>
      <c r="D34" s="13" t="n">
        <v>45.03333333333333</v>
      </c>
      <c r="E34" s="13" t="n">
        <v>17.00947589459421</v>
      </c>
    </row>
    <row r="35">
      <c r="A35" s="9" t="inlineStr">
        <is>
          <t>catering</t>
        </is>
      </c>
      <c r="B35" s="10" t="n">
        <v>1632</v>
      </c>
      <c r="C35" s="13" t="n">
        <v>48.48511029411765</v>
      </c>
      <c r="D35" s="13" t="n">
        <v>45.94166666666666</v>
      </c>
      <c r="E35" s="13" t="n">
        <v>20.04050482093319</v>
      </c>
    </row>
    <row r="36">
      <c r="A36" s="9" t="inlineStr">
        <is>
          <t>thai</t>
        </is>
      </c>
      <c r="B36" s="10" t="n">
        <v>7225</v>
      </c>
      <c r="C36" s="13" t="n">
        <v>48.62026297577855</v>
      </c>
      <c r="D36" s="13" t="n">
        <v>45.1</v>
      </c>
      <c r="E36" s="13" t="n">
        <v>21.08983760797449</v>
      </c>
    </row>
    <row r="37">
      <c r="A37" s="9" t="inlineStr">
        <is>
          <t>unknown</t>
        </is>
      </c>
      <c r="B37" s="10" t="n">
        <v>4760</v>
      </c>
      <c r="C37" s="13" t="n">
        <v>48.7214705882353</v>
      </c>
      <c r="D37" s="13" t="n">
        <v>44.84166666666667</v>
      </c>
      <c r="E37" s="13" t="n">
        <v>19.55011765043859</v>
      </c>
    </row>
    <row r="38">
      <c r="A38" s="9" t="inlineStr">
        <is>
          <t>indian</t>
        </is>
      </c>
      <c r="B38" s="10" t="n">
        <v>7313</v>
      </c>
      <c r="C38" s="13" t="n">
        <v>48.98457313460049</v>
      </c>
      <c r="D38" s="13" t="n">
        <v>46.1</v>
      </c>
      <c r="E38" s="13" t="n">
        <v>20.6420041833208</v>
      </c>
    </row>
    <row r="39">
      <c r="A39" s="9" t="inlineStr">
        <is>
          <t>salad</t>
        </is>
      </c>
      <c r="B39" s="10" t="n">
        <v>3745</v>
      </c>
      <c r="C39" s="13" t="n">
        <v>50.17326212728082</v>
      </c>
      <c r="D39" s="13" t="n">
        <v>47.1</v>
      </c>
      <c r="E39" s="13" t="n">
        <v>19.3275950058589</v>
      </c>
    </row>
    <row r="40">
      <c r="A40" s="9" t="inlineStr">
        <is>
          <t>italian</t>
        </is>
      </c>
      <c r="B40" s="10" t="n">
        <v>7178</v>
      </c>
      <c r="C40" s="13" t="n">
        <v>50.43529302498374</v>
      </c>
      <c r="D40" s="13" t="n">
        <v>47.35</v>
      </c>
      <c r="E40" s="13" t="n">
        <v>20.43113342448717</v>
      </c>
    </row>
    <row r="41">
      <c r="A41" s="9" t="inlineStr">
        <is>
          <t>pizza</t>
        </is>
      </c>
      <c r="B41" s="10" t="n">
        <v>17320</v>
      </c>
      <c r="C41" s="13" t="n">
        <v>50.86916570438799</v>
      </c>
      <c r="D41" s="13" t="n">
        <v>47.4</v>
      </c>
      <c r="E41" s="13" t="n">
        <v>19.47130267790043</v>
      </c>
    </row>
    <row r="42">
      <c r="A42" s="9" t="inlineStr">
        <is>
          <t>sushi</t>
        </is>
      </c>
      <c r="B42" s="10" t="n">
        <v>2187</v>
      </c>
      <c r="C42" s="13" t="n">
        <v>51.51992074378906</v>
      </c>
      <c r="D42" s="13" t="n">
        <v>48.16666666666666</v>
      </c>
      <c r="E42" s="13" t="n">
        <v>19.78580665443731</v>
      </c>
    </row>
    <row r="43">
      <c r="A43" s="9" t="inlineStr">
        <is>
          <t>steak</t>
        </is>
      </c>
      <c r="B43" s="10" t="n">
        <v>1092</v>
      </c>
      <c r="C43" s="13" t="n">
        <v>51.59391025641026</v>
      </c>
      <c r="D43" s="13" t="n">
        <v>48.06666666666666</v>
      </c>
      <c r="E43" s="13" t="n">
        <v>17.28111811447303</v>
      </c>
    </row>
    <row r="44">
      <c r="A44" s="9" t="inlineStr">
        <is>
          <t>burmese</t>
        </is>
      </c>
      <c r="B44" s="10" t="n">
        <v>821</v>
      </c>
      <c r="C44" s="13" t="n">
        <v>51.63536337799432</v>
      </c>
      <c r="D44" s="13" t="n">
        <v>50.3</v>
      </c>
      <c r="E44" s="13" t="n">
        <v>18.05054837634861</v>
      </c>
    </row>
    <row r="45">
      <c r="A45" s="9" t="inlineStr">
        <is>
          <t>japanese</t>
        </is>
      </c>
      <c r="B45" s="10" t="n">
        <v>9195</v>
      </c>
      <c r="C45" s="13" t="n">
        <v>52.07758383179264</v>
      </c>
      <c r="D45" s="13" t="n">
        <v>48.11666666666667</v>
      </c>
      <c r="E45" s="13" t="n">
        <v>21.34403737000358</v>
      </c>
    </row>
    <row r="46" ht="31" customHeight="1">
      <c r="A46" s="11" t="inlineStr">
        <is>
          <t>Fastest: fast (43.9 min). Slowest: japanese (52.1 min) - a gap of 8.2 minutes. Category explains only 1.4% of delivery-time variation.</t>
        </is>
      </c>
    </row>
    <row r="47" ht="31" customHeight="1">
      <c r="A47" s="14" t="inlineStr">
        <is>
          <t>Business insight: Categories at the slow end (e.g. japanese, burmese, steak) are candidates for prep-time reviews or partnership talks; fast categories show what good looks like.</t>
        </is>
      </c>
    </row>
    <row r="49">
      <c r="A49" s="7" t="inlineStr">
        <is>
          <t>Medium Q - Effect of category on the likelihood of an above-average-value order</t>
        </is>
      </c>
      <c r="B49" s="8" t="n"/>
      <c r="C49" s="8" t="n"/>
      <c r="D49" s="8" t="n"/>
      <c r="E49" s="8" t="n"/>
      <c r="F49" s="8" t="n"/>
      <c r="G49" s="8" t="n"/>
    </row>
    <row r="50" ht="44.5" customHeight="1">
      <c r="A50" s="11" t="inlineStr">
        <is>
          <t>Average order value (subtotal, excluding zero-value orders) = 2,685. Overall 38.5% of orders are above it. Share above average by category (500+ orders) is below. Category matters a lot: from 12% (fast) to 68% (burmese). Chi-square test: p &lt; 0.001, Cramer's V = 0.25 (a moderate effect).</t>
        </is>
      </c>
    </row>
    <row r="51" ht="30" customHeight="1">
      <c r="A51" s="4" t="inlineStr">
        <is>
          <t>Category</t>
        </is>
      </c>
      <c r="B51" s="4" t="inlineStr">
        <is>
          <t>Orders</t>
        </is>
      </c>
      <c r="C51" s="4" t="inlineStr">
        <is>
          <t>% of orders above average value</t>
        </is>
      </c>
      <c r="D51" s="4" t="inlineStr">
        <is>
          <t>Avg subtotal</t>
        </is>
      </c>
    </row>
    <row r="52">
      <c r="A52" s="9" t="inlineStr">
        <is>
          <t>burmese</t>
        </is>
      </c>
      <c r="B52" s="10" t="n">
        <v>821</v>
      </c>
      <c r="C52" s="12" t="n">
        <v>0.6784841075794621</v>
      </c>
      <c r="D52" s="10" t="n">
        <v>3770.884287454324</v>
      </c>
    </row>
    <row r="53">
      <c r="A53" s="9" t="inlineStr">
        <is>
          <t>italian</t>
        </is>
      </c>
      <c r="B53" s="10" t="n">
        <v>7178</v>
      </c>
      <c r="C53" s="12" t="n">
        <v>0.6378348214285714</v>
      </c>
      <c r="D53" s="10" t="n">
        <v>3743.720395653385</v>
      </c>
    </row>
    <row r="54">
      <c r="A54" s="9" t="inlineStr">
        <is>
          <t>steak</t>
        </is>
      </c>
      <c r="B54" s="10" t="n">
        <v>1092</v>
      </c>
      <c r="C54" s="12" t="n">
        <v>0.6321100917431193</v>
      </c>
      <c r="D54" s="10" t="n">
        <v>3729.501831501831</v>
      </c>
    </row>
    <row r="55">
      <c r="A55" s="9" t="inlineStr">
        <is>
          <t>persian</t>
        </is>
      </c>
      <c r="B55" s="10" t="n">
        <v>607</v>
      </c>
      <c r="C55" s="12" t="n">
        <v>0.5831960461285008</v>
      </c>
      <c r="D55" s="10" t="n">
        <v>3560.996705107084</v>
      </c>
    </row>
    <row r="56">
      <c r="A56" s="9" t="inlineStr">
        <is>
          <t>sushi</t>
        </is>
      </c>
      <c r="B56" s="10" t="n">
        <v>2187</v>
      </c>
      <c r="C56" s="12" t="n">
        <v>0.5670480549199085</v>
      </c>
      <c r="D56" s="10" t="n">
        <v>3674.48651120256</v>
      </c>
    </row>
    <row r="57">
      <c r="A57" s="9" t="inlineStr">
        <is>
          <t>dim-sum</t>
        </is>
      </c>
      <c r="B57" s="10" t="n">
        <v>1112</v>
      </c>
      <c r="C57" s="12" t="n">
        <v>0.5571557155715572</v>
      </c>
      <c r="D57" s="10" t="n">
        <v>3356.513489208633</v>
      </c>
    </row>
    <row r="58">
      <c r="A58" s="9" t="inlineStr">
        <is>
          <t>japanese</t>
        </is>
      </c>
      <c r="B58" s="10" t="n">
        <v>9195</v>
      </c>
      <c r="C58" s="12" t="n">
        <v>0.5374646046612939</v>
      </c>
      <c r="D58" s="10" t="n">
        <v>3360.829798803697</v>
      </c>
    </row>
    <row r="59">
      <c r="A59" s="9" t="inlineStr">
        <is>
          <t>thai</t>
        </is>
      </c>
      <c r="B59" s="10" t="n">
        <v>7225</v>
      </c>
      <c r="C59" s="12" t="n">
        <v>0.5142065142065142</v>
      </c>
      <c r="D59" s="10" t="n">
        <v>3108.027543252595</v>
      </c>
    </row>
    <row r="60">
      <c r="A60" s="9" t="inlineStr">
        <is>
          <t>seafood</t>
        </is>
      </c>
      <c r="B60" s="10" t="n">
        <v>2730</v>
      </c>
      <c r="C60" s="12" t="n">
        <v>0.5117302052785924</v>
      </c>
      <c r="D60" s="10" t="n">
        <v>3260.788278388278</v>
      </c>
    </row>
    <row r="61">
      <c r="A61" s="9" t="inlineStr">
        <is>
          <t>catering</t>
        </is>
      </c>
      <c r="B61" s="10" t="n">
        <v>1632</v>
      </c>
      <c r="C61" s="12" t="n">
        <v>0.5088902513795218</v>
      </c>
      <c r="D61" s="10" t="n">
        <v>3244.875612745098</v>
      </c>
    </row>
    <row r="62">
      <c r="A62" s="9" t="inlineStr">
        <is>
          <t>barbecue</t>
        </is>
      </c>
      <c r="B62" s="10" t="n">
        <v>2722</v>
      </c>
      <c r="C62" s="12" t="n">
        <v>0.5038617138653917</v>
      </c>
      <c r="D62" s="10" t="n">
        <v>3107.429096252755</v>
      </c>
    </row>
    <row r="63">
      <c r="A63" s="9" t="inlineStr">
        <is>
          <t>latin-american</t>
        </is>
      </c>
      <c r="B63" s="10" t="n">
        <v>520</v>
      </c>
      <c r="C63" s="12" t="n">
        <v>0.5028901734104047</v>
      </c>
      <c r="D63" s="10" t="n">
        <v>3085.384615384615</v>
      </c>
    </row>
    <row r="64">
      <c r="A64" s="9" t="inlineStr">
        <is>
          <t>pizza</t>
        </is>
      </c>
      <c r="B64" s="10" t="n">
        <v>17320</v>
      </c>
      <c r="C64" s="12" t="n">
        <v>0.4815135759676488</v>
      </c>
      <c r="D64" s="10" t="n">
        <v>3007.514030023095</v>
      </c>
    </row>
    <row r="65">
      <c r="A65" s="9" t="inlineStr">
        <is>
          <t>french</t>
        </is>
      </c>
      <c r="B65" s="10" t="n">
        <v>575</v>
      </c>
      <c r="C65" s="12" t="n">
        <v>0.475609756097561</v>
      </c>
      <c r="D65" s="10" t="n">
        <v>3239.754782608696</v>
      </c>
    </row>
    <row r="66">
      <c r="A66" s="9" t="inlineStr">
        <is>
          <t>korean</t>
        </is>
      </c>
      <c r="B66" s="10" t="n">
        <v>1813</v>
      </c>
      <c r="C66" s="12" t="n">
        <v>0.4701986754966888</v>
      </c>
      <c r="D66" s="10" t="n">
        <v>3008.950910093767</v>
      </c>
    </row>
    <row r="67">
      <c r="A67" s="9" t="inlineStr">
        <is>
          <t>greek</t>
        </is>
      </c>
      <c r="B67" s="10" t="n">
        <v>3326</v>
      </c>
      <c r="C67" s="12" t="n">
        <v>0.4586217273547999</v>
      </c>
      <c r="D67" s="10" t="n">
        <v>3016.974143114853</v>
      </c>
    </row>
    <row r="68">
      <c r="A68" s="9" t="inlineStr">
        <is>
          <t>middle-eastern</t>
        </is>
      </c>
      <c r="B68" s="10" t="n">
        <v>1501</v>
      </c>
      <c r="C68" s="12" t="n">
        <v>0.4562458249832999</v>
      </c>
      <c r="D68" s="10" t="n">
        <v>3002.248500999334</v>
      </c>
    </row>
    <row r="69">
      <c r="A69" s="9" t="inlineStr">
        <is>
          <t>chinese</t>
        </is>
      </c>
      <c r="B69" s="10" t="n">
        <v>9421</v>
      </c>
      <c r="C69" s="12" t="n">
        <v>0.4511741579003294</v>
      </c>
      <c r="D69" s="10" t="n">
        <v>2868.265895340197</v>
      </c>
    </row>
    <row r="70">
      <c r="A70" s="9" t="inlineStr">
        <is>
          <t>indian</t>
        </is>
      </c>
      <c r="B70" s="10" t="n">
        <v>7313</v>
      </c>
      <c r="C70" s="12" t="n">
        <v>0.4484881652756875</v>
      </c>
      <c r="D70" s="10" t="n">
        <v>2907.150690551073</v>
      </c>
    </row>
    <row r="71">
      <c r="A71" s="9" t="inlineStr">
        <is>
          <t>pasta</t>
        </is>
      </c>
      <c r="B71" s="10" t="n">
        <v>633</v>
      </c>
      <c r="C71" s="12" t="n">
        <v>0.4287974683544304</v>
      </c>
      <c r="D71" s="10" t="n">
        <v>2830.483412322275</v>
      </c>
    </row>
    <row r="72">
      <c r="A72" s="9" t="inlineStr">
        <is>
          <t>unknown</t>
        </is>
      </c>
      <c r="B72" s="10" t="n">
        <v>4760</v>
      </c>
      <c r="C72" s="12" t="n">
        <v>0.4045416316232128</v>
      </c>
      <c r="D72" s="10" t="n">
        <v>2789.348949579832</v>
      </c>
    </row>
    <row r="73">
      <c r="A73" s="9" t="inlineStr">
        <is>
          <t>vegetarian</t>
        </is>
      </c>
      <c r="B73" s="10" t="n">
        <v>845</v>
      </c>
      <c r="C73" s="12" t="n">
        <v>0.3850710900473934</v>
      </c>
      <c r="D73" s="10" t="n">
        <v>2600.734911242604</v>
      </c>
    </row>
    <row r="74">
      <c r="A74" s="9" t="inlineStr">
        <is>
          <t>american</t>
        </is>
      </c>
      <c r="B74" s="10" t="n">
        <v>19399</v>
      </c>
      <c r="C74" s="12" t="n">
        <v>0.3826912166692454</v>
      </c>
      <c r="D74" s="10" t="n">
        <v>2658.50646940564</v>
      </c>
    </row>
    <row r="75">
      <c r="A75" s="9" t="inlineStr">
        <is>
          <t>alcohol</t>
        </is>
      </c>
      <c r="B75" s="10" t="n">
        <v>1850</v>
      </c>
      <c r="C75" s="12" t="n">
        <v>0.3798701298701299</v>
      </c>
      <c r="D75" s="10" t="n">
        <v>2656.595675675675</v>
      </c>
    </row>
    <row r="76">
      <c r="A76" s="9" t="inlineStr">
        <is>
          <t>mediterranean</t>
        </is>
      </c>
      <c r="B76" s="10" t="n">
        <v>5512</v>
      </c>
      <c r="C76" s="12" t="n">
        <v>0.3741150844073334</v>
      </c>
      <c r="D76" s="10" t="n">
        <v>2698.069666182874</v>
      </c>
    </row>
    <row r="77">
      <c r="A77" s="9" t="inlineStr">
        <is>
          <t>asian</t>
        </is>
      </c>
      <c r="B77" s="10" t="n">
        <v>2449</v>
      </c>
      <c r="C77" s="12" t="n">
        <v>0.3657539844707806</v>
      </c>
      <c r="D77" s="10" t="n">
        <v>2633.351980400163</v>
      </c>
    </row>
    <row r="78">
      <c r="A78" s="9" t="inlineStr">
        <is>
          <t>dessert</t>
        </is>
      </c>
      <c r="B78" s="10" t="n">
        <v>8771</v>
      </c>
      <c r="C78" s="12" t="n">
        <v>0.3200182606710796</v>
      </c>
      <c r="D78" s="10" t="n">
        <v>2437.128605632197</v>
      </c>
    </row>
    <row r="79">
      <c r="A79" s="9" t="inlineStr">
        <is>
          <t>salad</t>
        </is>
      </c>
      <c r="B79" s="10" t="n">
        <v>3745</v>
      </c>
      <c r="C79" s="12" t="n">
        <v>0.3121325494388028</v>
      </c>
      <c r="D79" s="10" t="n">
        <v>2510.818424566088</v>
      </c>
    </row>
    <row r="80">
      <c r="A80" s="9" t="inlineStr">
        <is>
          <t>other</t>
        </is>
      </c>
      <c r="B80" s="10" t="n">
        <v>3988</v>
      </c>
      <c r="C80" s="12" t="n">
        <v>0.30431510286001</v>
      </c>
      <c r="D80" s="10" t="n">
        <v>2372.490471414243</v>
      </c>
    </row>
    <row r="81">
      <c r="A81" s="9" t="inlineStr">
        <is>
          <t>breakfast</t>
        </is>
      </c>
      <c r="B81" s="10" t="n">
        <v>5425</v>
      </c>
      <c r="C81" s="12" t="n">
        <v>0.2943890734588409</v>
      </c>
      <c r="D81" s="10" t="n">
        <v>2328.698617511521</v>
      </c>
    </row>
    <row r="82">
      <c r="A82" s="9" t="inlineStr">
        <is>
          <t>mexican</t>
        </is>
      </c>
      <c r="B82" s="10" t="n">
        <v>17098</v>
      </c>
      <c r="C82" s="12" t="n">
        <v>0.2897354868913858</v>
      </c>
      <c r="D82" s="10" t="n">
        <v>2295.449467774009</v>
      </c>
    </row>
    <row r="83">
      <c r="A83" s="9" t="inlineStr">
        <is>
          <t>burger</t>
        </is>
      </c>
      <c r="B83" s="10" t="n">
        <v>10958</v>
      </c>
      <c r="C83" s="12" t="n">
        <v>0.2739150296939242</v>
      </c>
      <c r="D83" s="10" t="n">
        <v>2215.532305165176</v>
      </c>
    </row>
    <row r="84">
      <c r="A84" s="9" t="inlineStr">
        <is>
          <t>smoothie</t>
        </is>
      </c>
      <c r="B84" s="10" t="n">
        <v>1659</v>
      </c>
      <c r="C84" s="12" t="n">
        <v>0.270205066344994</v>
      </c>
      <c r="D84" s="10" t="n">
        <v>2324.077154912598</v>
      </c>
    </row>
    <row r="85">
      <c r="A85" s="9" t="inlineStr">
        <is>
          <t>vietnamese</t>
        </is>
      </c>
      <c r="B85" s="10" t="n">
        <v>6095</v>
      </c>
      <c r="C85" s="12" t="n">
        <v>0.2684288294204564</v>
      </c>
      <c r="D85" s="10" t="n">
        <v>2258.566037735849</v>
      </c>
    </row>
    <row r="86">
      <c r="A86" s="9" t="inlineStr">
        <is>
          <t>sandwich</t>
        </is>
      </c>
      <c r="B86" s="10" t="n">
        <v>10059</v>
      </c>
      <c r="C86" s="12" t="n">
        <v>0.2170712296060485</v>
      </c>
      <c r="D86" s="10" t="n">
        <v>2092.357689631176</v>
      </c>
    </row>
    <row r="87">
      <c r="A87" s="9" t="inlineStr">
        <is>
          <t>hawaiian</t>
        </is>
      </c>
      <c r="B87" s="10" t="n">
        <v>1499</v>
      </c>
      <c r="C87" s="12" t="n">
        <v>0.2121414276184123</v>
      </c>
      <c r="D87" s="10" t="n">
        <v>2013.727151434289</v>
      </c>
    </row>
    <row r="88">
      <c r="A88" s="9" t="inlineStr">
        <is>
          <t>cafe</t>
        </is>
      </c>
      <c r="B88" s="10" t="n">
        <v>2229</v>
      </c>
      <c r="C88" s="12" t="n">
        <v>0.1615798922800718</v>
      </c>
      <c r="D88" s="10" t="n">
        <v>1703.973082099596</v>
      </c>
    </row>
    <row r="89">
      <c r="A89" s="9" t="inlineStr">
        <is>
          <t>bubble-tea</t>
        </is>
      </c>
      <c r="B89" s="10" t="n">
        <v>519</v>
      </c>
      <c r="C89" s="12" t="n">
        <v>0.1464354527938343</v>
      </c>
      <c r="D89" s="10" t="n">
        <v>1679.28323699422</v>
      </c>
    </row>
    <row r="90">
      <c r="A90" s="9" t="inlineStr">
        <is>
          <t>fast</t>
        </is>
      </c>
      <c r="B90" s="10" t="n">
        <v>7371</v>
      </c>
      <c r="C90" s="12" t="n">
        <v>0.1244058128480239</v>
      </c>
      <c r="D90" s="10" t="n">
        <v>1592.254239587573</v>
      </c>
    </row>
    <row r="91" ht="44.5" customHeight="1">
      <c r="A91" s="14" t="inlineStr">
        <is>
          <t>Business insight: Italian, steak and Burmese-type restaurants generate high-value baskets: feature them in premium promotions and partnerships. Fast-food, cafe and bubble-tea orders are small: drive revenue through volume, combos and upsells instead.</t>
        </is>
      </c>
    </row>
    <row r="93">
      <c r="A93" s="7" t="inlineStr">
        <is>
          <t>All categories (reference)</t>
        </is>
      </c>
      <c r="B93" s="8" t="n"/>
      <c r="C93" s="8" t="n"/>
      <c r="D93" s="8" t="n"/>
      <c r="E93" s="8" t="n"/>
      <c r="F93" s="8" t="n"/>
      <c r="G93" s="8" t="n"/>
    </row>
    <row r="94" ht="30" customHeight="1">
      <c r="A94" s="4" t="inlineStr">
        <is>
          <t>Category</t>
        </is>
      </c>
      <c r="B94" s="4" t="inlineStr">
        <is>
          <t>Orders</t>
        </is>
      </c>
      <c r="C94" s="4" t="inlineStr">
        <is>
          <t>Avg delivery (min)</t>
        </is>
      </c>
      <c r="D94" s="4" t="inlineStr">
        <is>
          <t>Median (min)</t>
        </is>
      </c>
      <c r="E94" s="4" t="inlineStr">
        <is>
          <t>Std dev (min)</t>
        </is>
      </c>
      <c r="F94" s="4" t="inlineStr">
        <is>
          <t>% above avg value</t>
        </is>
      </c>
      <c r="G94" s="4" t="inlineStr">
        <is>
          <t>Avg subtotal</t>
        </is>
      </c>
    </row>
    <row r="95">
      <c r="A95" s="9" t="inlineStr">
        <is>
          <t>american</t>
        </is>
      </c>
      <c r="B95" s="10" t="n">
        <v>19399</v>
      </c>
      <c r="C95" s="13" t="n">
        <v>47.75861900097943</v>
      </c>
      <c r="D95" s="13" t="n">
        <v>44.36666666666667</v>
      </c>
      <c r="E95" s="13" t="n">
        <v>18.85147847855411</v>
      </c>
      <c r="F95" s="12" t="n">
        <v>0.3826912166692454</v>
      </c>
      <c r="G95" s="10" t="n">
        <v>2658.50646940564</v>
      </c>
    </row>
    <row r="96">
      <c r="A96" s="9" t="inlineStr">
        <is>
          <t>pizza</t>
        </is>
      </c>
      <c r="B96" s="10" t="n">
        <v>17320</v>
      </c>
      <c r="C96" s="13" t="n">
        <v>50.86916570438799</v>
      </c>
      <c r="D96" s="13" t="n">
        <v>47.4</v>
      </c>
      <c r="E96" s="13" t="n">
        <v>19.47130267790043</v>
      </c>
      <c r="F96" s="12" t="n">
        <v>0.4815135759676488</v>
      </c>
      <c r="G96" s="10" t="n">
        <v>3007.514030023095</v>
      </c>
    </row>
    <row r="97">
      <c r="A97" s="9" t="inlineStr">
        <is>
          <t>mexican</t>
        </is>
      </c>
      <c r="B97" s="10" t="n">
        <v>17098</v>
      </c>
      <c r="C97" s="13" t="n">
        <v>44.54686805474324</v>
      </c>
      <c r="D97" s="13" t="n">
        <v>41.35</v>
      </c>
      <c r="E97" s="13" t="n">
        <v>17.9913391655306</v>
      </c>
      <c r="F97" s="12" t="n">
        <v>0.2897354868913858</v>
      </c>
      <c r="G97" s="10" t="n">
        <v>2295.449467774009</v>
      </c>
    </row>
    <row r="98">
      <c r="A98" s="9" t="inlineStr">
        <is>
          <t>burger</t>
        </is>
      </c>
      <c r="B98" s="10" t="n">
        <v>10958</v>
      </c>
      <c r="C98" s="13" t="n">
        <v>47.17541370079699</v>
      </c>
      <c r="D98" s="13" t="n">
        <v>43.95</v>
      </c>
      <c r="E98" s="13" t="n">
        <v>19.8156495646824</v>
      </c>
      <c r="F98" s="12" t="n">
        <v>0.2739150296939242</v>
      </c>
      <c r="G98" s="10" t="n">
        <v>2215.532305165176</v>
      </c>
    </row>
    <row r="99">
      <c r="A99" s="9" t="inlineStr">
        <is>
          <t>sandwich</t>
        </is>
      </c>
      <c r="B99" s="10" t="n">
        <v>10059</v>
      </c>
      <c r="C99" s="13" t="n">
        <v>44.76070185903171</v>
      </c>
      <c r="D99" s="13" t="n">
        <v>41.38333333333333</v>
      </c>
      <c r="E99" s="13" t="n">
        <v>18.26954847626904</v>
      </c>
      <c r="F99" s="12" t="n">
        <v>0.2170712296060485</v>
      </c>
      <c r="G99" s="10" t="n">
        <v>2092.357689631176</v>
      </c>
    </row>
    <row r="100">
      <c r="A100" s="9" t="inlineStr">
        <is>
          <t>chinese</t>
        </is>
      </c>
      <c r="B100" s="10" t="n">
        <v>9421</v>
      </c>
      <c r="C100" s="13" t="n">
        <v>48.06765028482468</v>
      </c>
      <c r="D100" s="13" t="n">
        <v>44.73333333333333</v>
      </c>
      <c r="E100" s="13" t="n">
        <v>18.69007141655967</v>
      </c>
      <c r="F100" s="12" t="n">
        <v>0.4511741579003294</v>
      </c>
      <c r="G100" s="10" t="n">
        <v>2868.265895340197</v>
      </c>
    </row>
    <row r="101">
      <c r="A101" s="9" t="inlineStr">
        <is>
          <t>japanese</t>
        </is>
      </c>
      <c r="B101" s="10" t="n">
        <v>9195</v>
      </c>
      <c r="C101" s="13" t="n">
        <v>52.07758383179264</v>
      </c>
      <c r="D101" s="13" t="n">
        <v>48.11666666666667</v>
      </c>
      <c r="E101" s="13" t="n">
        <v>21.34403737000358</v>
      </c>
      <c r="F101" s="12" t="n">
        <v>0.5374646046612939</v>
      </c>
      <c r="G101" s="10" t="n">
        <v>3360.829798803697</v>
      </c>
    </row>
    <row r="102">
      <c r="A102" s="9" t="inlineStr">
        <is>
          <t>dessert</t>
        </is>
      </c>
      <c r="B102" s="10" t="n">
        <v>8771</v>
      </c>
      <c r="C102" s="13" t="n">
        <v>48.08656747615247</v>
      </c>
      <c r="D102" s="13" t="n">
        <v>44.4</v>
      </c>
      <c r="E102" s="13" t="n">
        <v>20.40756134487016</v>
      </c>
      <c r="F102" s="12" t="n">
        <v>0.3200182606710796</v>
      </c>
      <c r="G102" s="10" t="n">
        <v>2437.128605632197</v>
      </c>
    </row>
    <row r="103">
      <c r="A103" s="9" t="inlineStr">
        <is>
          <t>fast</t>
        </is>
      </c>
      <c r="B103" s="10" t="n">
        <v>7371</v>
      </c>
      <c r="C103" s="13" t="n">
        <v>43.8536064758287</v>
      </c>
      <c r="D103" s="13" t="n">
        <v>40.18333333333333</v>
      </c>
      <c r="E103" s="13" t="n">
        <v>19.05283758198195</v>
      </c>
      <c r="F103" s="12" t="n">
        <v>0.1244058128480239</v>
      </c>
      <c r="G103" s="10" t="n">
        <v>1592.254239587573</v>
      </c>
    </row>
    <row r="104">
      <c r="A104" s="9" t="inlineStr">
        <is>
          <t>indian</t>
        </is>
      </c>
      <c r="B104" s="10" t="n">
        <v>7313</v>
      </c>
      <c r="C104" s="13" t="n">
        <v>48.98457313460049</v>
      </c>
      <c r="D104" s="13" t="n">
        <v>46.1</v>
      </c>
      <c r="E104" s="13" t="n">
        <v>20.6420041833208</v>
      </c>
      <c r="F104" s="12" t="n">
        <v>0.4484881652756875</v>
      </c>
      <c r="G104" s="10" t="n">
        <v>2907.150690551073</v>
      </c>
    </row>
    <row r="105">
      <c r="A105" s="9" t="inlineStr">
        <is>
          <t>thai</t>
        </is>
      </c>
      <c r="B105" s="10" t="n">
        <v>7225</v>
      </c>
      <c r="C105" s="13" t="n">
        <v>48.62026297577855</v>
      </c>
      <c r="D105" s="13" t="n">
        <v>45.1</v>
      </c>
      <c r="E105" s="13" t="n">
        <v>21.08983760797449</v>
      </c>
      <c r="F105" s="12" t="n">
        <v>0.5142065142065142</v>
      </c>
      <c r="G105" s="10" t="n">
        <v>3108.027543252595</v>
      </c>
    </row>
    <row r="106">
      <c r="A106" s="9" t="inlineStr">
        <is>
          <t>italian</t>
        </is>
      </c>
      <c r="B106" s="10" t="n">
        <v>7178</v>
      </c>
      <c r="C106" s="13" t="n">
        <v>50.43529302498374</v>
      </c>
      <c r="D106" s="13" t="n">
        <v>47.35</v>
      </c>
      <c r="E106" s="13" t="n">
        <v>20.43113342448717</v>
      </c>
      <c r="F106" s="12" t="n">
        <v>0.6378348214285714</v>
      </c>
      <c r="G106" s="10" t="n">
        <v>3743.720395653385</v>
      </c>
    </row>
    <row r="107">
      <c r="A107" s="9" t="inlineStr">
        <is>
          <t>vietnamese</t>
        </is>
      </c>
      <c r="B107" s="10" t="n">
        <v>6095</v>
      </c>
      <c r="C107" s="13" t="n">
        <v>45.34472791905933</v>
      </c>
      <c r="D107" s="13" t="n">
        <v>42.43333333333333</v>
      </c>
      <c r="E107" s="13" t="n">
        <v>17.37780294604684</v>
      </c>
      <c r="F107" s="12" t="n">
        <v>0.2684288294204564</v>
      </c>
      <c r="G107" s="10" t="n">
        <v>2258.566037735849</v>
      </c>
    </row>
    <row r="108">
      <c r="A108" s="9" t="inlineStr">
        <is>
          <t>mediterranean</t>
        </is>
      </c>
      <c r="B108" s="10" t="n">
        <v>5512</v>
      </c>
      <c r="C108" s="13" t="n">
        <v>46.93026427189163</v>
      </c>
      <c r="D108" s="13" t="n">
        <v>43.24166666666667</v>
      </c>
      <c r="E108" s="13" t="n">
        <v>20.48532600985849</v>
      </c>
      <c r="F108" s="12" t="n">
        <v>0.3741150844073334</v>
      </c>
      <c r="G108" s="10" t="n">
        <v>2698.069666182874</v>
      </c>
    </row>
    <row r="109">
      <c r="A109" s="9" t="inlineStr">
        <is>
          <t>breakfast</t>
        </is>
      </c>
      <c r="B109" s="10" t="n">
        <v>5425</v>
      </c>
      <c r="C109" s="13" t="n">
        <v>44.99011059907834</v>
      </c>
      <c r="D109" s="13" t="n">
        <v>41.25</v>
      </c>
      <c r="E109" s="13" t="n">
        <v>19.29757696491209</v>
      </c>
      <c r="F109" s="12" t="n">
        <v>0.2943890734588409</v>
      </c>
      <c r="G109" s="10" t="n">
        <v>2328.698617511521</v>
      </c>
    </row>
    <row r="110">
      <c r="A110" s="9" t="inlineStr">
        <is>
          <t>unknown</t>
        </is>
      </c>
      <c r="B110" s="10" t="n">
        <v>4760</v>
      </c>
      <c r="C110" s="13" t="n">
        <v>48.7214705882353</v>
      </c>
      <c r="D110" s="13" t="n">
        <v>44.84166666666667</v>
      </c>
      <c r="E110" s="13" t="n">
        <v>19.55011765043859</v>
      </c>
      <c r="F110" s="12" t="n">
        <v>0.4045416316232128</v>
      </c>
      <c r="G110" s="10" t="n">
        <v>2789.348949579832</v>
      </c>
    </row>
    <row r="111">
      <c r="A111" s="9" t="inlineStr">
        <is>
          <t>other</t>
        </is>
      </c>
      <c r="B111" s="10" t="n">
        <v>3988</v>
      </c>
      <c r="C111" s="13" t="n">
        <v>46.12634988298228</v>
      </c>
      <c r="D111" s="13" t="n">
        <v>42.775</v>
      </c>
      <c r="E111" s="13" t="n">
        <v>18.30484010913388</v>
      </c>
      <c r="F111" s="12" t="n">
        <v>0.30431510286001</v>
      </c>
      <c r="G111" s="10" t="n">
        <v>2372.490471414243</v>
      </c>
    </row>
    <row r="112">
      <c r="A112" s="9" t="inlineStr">
        <is>
          <t>salad</t>
        </is>
      </c>
      <c r="B112" s="10" t="n">
        <v>3745</v>
      </c>
      <c r="C112" s="13" t="n">
        <v>50.17326212728082</v>
      </c>
      <c r="D112" s="13" t="n">
        <v>47.1</v>
      </c>
      <c r="E112" s="13" t="n">
        <v>19.3275950058589</v>
      </c>
      <c r="F112" s="12" t="n">
        <v>0.3121325494388028</v>
      </c>
      <c r="G112" s="10" t="n">
        <v>2510.818424566088</v>
      </c>
    </row>
    <row r="113">
      <c r="A113" s="9" t="inlineStr">
        <is>
          <t>greek</t>
        </is>
      </c>
      <c r="B113" s="10" t="n">
        <v>3326</v>
      </c>
      <c r="C113" s="13" t="n">
        <v>47.54425736620566</v>
      </c>
      <c r="D113" s="13" t="n">
        <v>44.9</v>
      </c>
      <c r="E113" s="13" t="n">
        <v>17.38373792145059</v>
      </c>
      <c r="F113" s="12" t="n">
        <v>0.4586217273547999</v>
      </c>
      <c r="G113" s="10" t="n">
        <v>3016.974143114853</v>
      </c>
    </row>
    <row r="114">
      <c r="A114" s="9" t="inlineStr">
        <is>
          <t>seafood</t>
        </is>
      </c>
      <c r="B114" s="10" t="n">
        <v>2730</v>
      </c>
      <c r="C114" s="13" t="n">
        <v>47.46425518925519</v>
      </c>
      <c r="D114" s="13" t="n">
        <v>44.08333333333334</v>
      </c>
      <c r="E114" s="13" t="n">
        <v>18.00514595657899</v>
      </c>
      <c r="F114" s="12" t="n">
        <v>0.5117302052785924</v>
      </c>
      <c r="G114" s="10" t="n">
        <v>3260.788278388278</v>
      </c>
    </row>
    <row r="115">
      <c r="A115" s="9" t="inlineStr">
        <is>
          <t>barbecue</t>
        </is>
      </c>
      <c r="B115" s="10" t="n">
        <v>2722</v>
      </c>
      <c r="C115" s="13" t="n">
        <v>47.5847293656625</v>
      </c>
      <c r="D115" s="13" t="n">
        <v>44.475</v>
      </c>
      <c r="E115" s="13" t="n">
        <v>17.44950402119789</v>
      </c>
      <c r="F115" s="12" t="n">
        <v>0.5038617138653917</v>
      </c>
      <c r="G115" s="10" t="n">
        <v>3107.429096252755</v>
      </c>
    </row>
    <row r="116">
      <c r="A116" s="9" t="inlineStr">
        <is>
          <t>asian</t>
        </is>
      </c>
      <c r="B116" s="10" t="n">
        <v>2449</v>
      </c>
      <c r="C116" s="13" t="n">
        <v>47.27109024091466</v>
      </c>
      <c r="D116" s="13" t="n">
        <v>44.48333333333333</v>
      </c>
      <c r="E116" s="13" t="n">
        <v>17.44761830372999</v>
      </c>
      <c r="F116" s="12" t="n">
        <v>0.3657539844707806</v>
      </c>
      <c r="G116" s="10" t="n">
        <v>2633.351980400163</v>
      </c>
    </row>
    <row r="117">
      <c r="A117" s="9" t="inlineStr">
        <is>
          <t>cafe</t>
        </is>
      </c>
      <c r="B117" s="10" t="n">
        <v>2229</v>
      </c>
      <c r="C117" s="13" t="n">
        <v>45.84589502018842</v>
      </c>
      <c r="D117" s="13" t="n">
        <v>42.3</v>
      </c>
      <c r="E117" s="13" t="n">
        <v>22.04293696834092</v>
      </c>
      <c r="F117" s="12" t="n">
        <v>0.1615798922800718</v>
      </c>
      <c r="G117" s="10" t="n">
        <v>1703.973082099596</v>
      </c>
    </row>
    <row r="118">
      <c r="A118" s="9" t="inlineStr">
        <is>
          <t>sushi</t>
        </is>
      </c>
      <c r="B118" s="10" t="n">
        <v>2187</v>
      </c>
      <c r="C118" s="13" t="n">
        <v>51.51992074378906</v>
      </c>
      <c r="D118" s="13" t="n">
        <v>48.16666666666666</v>
      </c>
      <c r="E118" s="13" t="n">
        <v>19.78580665443731</v>
      </c>
      <c r="F118" s="12" t="n">
        <v>0.5670480549199085</v>
      </c>
      <c r="G118" s="10" t="n">
        <v>3674.48651120256</v>
      </c>
    </row>
    <row r="119">
      <c r="A119" s="9" t="inlineStr">
        <is>
          <t>alcohol</t>
        </is>
      </c>
      <c r="B119" s="10" t="n">
        <v>1850</v>
      </c>
      <c r="C119" s="13" t="n">
        <v>44.95881981981982</v>
      </c>
      <c r="D119" s="13" t="n">
        <v>41.275</v>
      </c>
      <c r="E119" s="13" t="n">
        <v>22.18908961208637</v>
      </c>
      <c r="F119" s="12" t="n">
        <v>0.3798701298701299</v>
      </c>
      <c r="G119" s="10" t="n">
        <v>2656.595675675675</v>
      </c>
    </row>
    <row r="120">
      <c r="A120" s="9" t="inlineStr">
        <is>
          <t>korean</t>
        </is>
      </c>
      <c r="B120" s="10" t="n">
        <v>1813</v>
      </c>
      <c r="C120" s="13" t="n">
        <v>48.2638720353006</v>
      </c>
      <c r="D120" s="13" t="n">
        <v>45.03333333333333</v>
      </c>
      <c r="E120" s="13" t="n">
        <v>17.00947589459421</v>
      </c>
      <c r="F120" s="12" t="n">
        <v>0.4701986754966888</v>
      </c>
      <c r="G120" s="10" t="n">
        <v>3008.950910093767</v>
      </c>
    </row>
    <row r="121">
      <c r="A121" s="9" t="inlineStr">
        <is>
          <t>smoothie</t>
        </is>
      </c>
      <c r="B121" s="10" t="n">
        <v>1659</v>
      </c>
      <c r="C121" s="13" t="n">
        <v>44.69100863974282</v>
      </c>
      <c r="D121" s="13" t="n">
        <v>40.95</v>
      </c>
      <c r="E121" s="13" t="n">
        <v>20.31268484358672</v>
      </c>
      <c r="F121" s="12" t="n">
        <v>0.270205066344994</v>
      </c>
      <c r="G121" s="10" t="n">
        <v>2324.077154912598</v>
      </c>
    </row>
    <row r="122">
      <c r="A122" s="9" t="inlineStr">
        <is>
          <t>catering</t>
        </is>
      </c>
      <c r="B122" s="10" t="n">
        <v>1632</v>
      </c>
      <c r="C122" s="13" t="n">
        <v>48.48511029411765</v>
      </c>
      <c r="D122" s="13" t="n">
        <v>45.94166666666666</v>
      </c>
      <c r="E122" s="13" t="n">
        <v>20.04050482093319</v>
      </c>
      <c r="F122" s="12" t="n">
        <v>0.5088902513795218</v>
      </c>
      <c r="G122" s="10" t="n">
        <v>3244.875612745098</v>
      </c>
    </row>
    <row r="123">
      <c r="A123" s="9" t="inlineStr">
        <is>
          <t>middle-eastern</t>
        </is>
      </c>
      <c r="B123" s="10" t="n">
        <v>1501</v>
      </c>
      <c r="C123" s="13" t="n">
        <v>48.01827670441928</v>
      </c>
      <c r="D123" s="13" t="n">
        <v>45.23333333333333</v>
      </c>
      <c r="E123" s="13" t="n">
        <v>18.02775469777329</v>
      </c>
      <c r="F123" s="12" t="n">
        <v>0.4562458249832999</v>
      </c>
      <c r="G123" s="10" t="n">
        <v>3002.248500999334</v>
      </c>
    </row>
    <row r="124">
      <c r="A124" s="9" t="inlineStr">
        <is>
          <t>hawaiian</t>
        </is>
      </c>
      <c r="B124" s="10" t="n">
        <v>1499</v>
      </c>
      <c r="C124" s="13" t="n">
        <v>45.32595063375584</v>
      </c>
      <c r="D124" s="13" t="n">
        <v>41.9</v>
      </c>
      <c r="E124" s="13" t="n">
        <v>17.7099187979653</v>
      </c>
      <c r="F124" s="12" t="n">
        <v>0.2121414276184123</v>
      </c>
      <c r="G124" s="10" t="n">
        <v>2013.727151434289</v>
      </c>
    </row>
    <row r="125">
      <c r="A125" s="9" t="inlineStr">
        <is>
          <t>dim-sum</t>
        </is>
      </c>
      <c r="B125" s="10" t="n">
        <v>1112</v>
      </c>
      <c r="C125" s="13" t="n">
        <v>47.55377697841727</v>
      </c>
      <c r="D125" s="13" t="n">
        <v>44.66666666666666</v>
      </c>
      <c r="E125" s="13" t="n">
        <v>16.68536042008852</v>
      </c>
      <c r="F125" s="12" t="n">
        <v>0.5571557155715572</v>
      </c>
      <c r="G125" s="10" t="n">
        <v>3356.513489208633</v>
      </c>
    </row>
    <row r="126">
      <c r="A126" s="9" t="inlineStr">
        <is>
          <t>steak</t>
        </is>
      </c>
      <c r="B126" s="10" t="n">
        <v>1092</v>
      </c>
      <c r="C126" s="13" t="n">
        <v>51.59391025641026</v>
      </c>
      <c r="D126" s="13" t="n">
        <v>48.06666666666666</v>
      </c>
      <c r="E126" s="13" t="n">
        <v>17.28111811447303</v>
      </c>
      <c r="F126" s="12" t="n">
        <v>0.6321100917431193</v>
      </c>
      <c r="G126" s="10" t="n">
        <v>3729.501831501831</v>
      </c>
    </row>
    <row r="127">
      <c r="A127" s="9" t="inlineStr">
        <is>
          <t>vegetarian</t>
        </is>
      </c>
      <c r="B127" s="10" t="n">
        <v>845</v>
      </c>
      <c r="C127" s="13" t="n">
        <v>46.6630966469428</v>
      </c>
      <c r="D127" s="13" t="n">
        <v>43.51666666666667</v>
      </c>
      <c r="E127" s="13" t="n">
        <v>17.72440504053116</v>
      </c>
      <c r="F127" s="12" t="n">
        <v>0.3850710900473934</v>
      </c>
      <c r="G127" s="10" t="n">
        <v>2600.734911242604</v>
      </c>
    </row>
    <row r="128">
      <c r="A128" s="9" t="inlineStr">
        <is>
          <t>burmese</t>
        </is>
      </c>
      <c r="B128" s="10" t="n">
        <v>821</v>
      </c>
      <c r="C128" s="13" t="n">
        <v>51.63536337799432</v>
      </c>
      <c r="D128" s="13" t="n">
        <v>50.3</v>
      </c>
      <c r="E128" s="13" t="n">
        <v>18.05054837634861</v>
      </c>
      <c r="F128" s="12" t="n">
        <v>0.6784841075794621</v>
      </c>
      <c r="G128" s="10" t="n">
        <v>3770.884287454324</v>
      </c>
    </row>
    <row r="129">
      <c r="A129" s="9" t="inlineStr">
        <is>
          <t>pasta</t>
        </is>
      </c>
      <c r="B129" s="10" t="n">
        <v>633</v>
      </c>
      <c r="C129" s="13" t="n">
        <v>47.41711427066877</v>
      </c>
      <c r="D129" s="13" t="n">
        <v>44.81666666666667</v>
      </c>
      <c r="E129" s="13" t="n">
        <v>16.00723649841569</v>
      </c>
      <c r="F129" s="12" t="n">
        <v>0.4287974683544304</v>
      </c>
      <c r="G129" s="10" t="n">
        <v>2830.483412322275</v>
      </c>
    </row>
    <row r="130">
      <c r="A130" s="9" t="inlineStr">
        <is>
          <t>persian</t>
        </is>
      </c>
      <c r="B130" s="10" t="n">
        <v>607</v>
      </c>
      <c r="C130" s="13" t="n">
        <v>45.81669412410763</v>
      </c>
      <c r="D130" s="13" t="n">
        <v>41.75</v>
      </c>
      <c r="E130" s="13" t="n">
        <v>16.30430528504647</v>
      </c>
      <c r="F130" s="12" t="n">
        <v>0.5831960461285008</v>
      </c>
      <c r="G130" s="10" t="n">
        <v>3560.996705107084</v>
      </c>
    </row>
    <row r="131">
      <c r="A131" s="9" t="inlineStr">
        <is>
          <t>french</t>
        </is>
      </c>
      <c r="B131" s="10" t="n">
        <v>575</v>
      </c>
      <c r="C131" s="13" t="n">
        <v>45.84663768115942</v>
      </c>
      <c r="D131" s="13" t="n">
        <v>42.23333333333333</v>
      </c>
      <c r="E131" s="13" t="n">
        <v>16.25868802856825</v>
      </c>
      <c r="F131" s="12" t="n">
        <v>0.475609756097561</v>
      </c>
      <c r="G131" s="10" t="n">
        <v>3239.754782608696</v>
      </c>
    </row>
    <row r="132">
      <c r="A132" s="9" t="inlineStr">
        <is>
          <t>latin-american</t>
        </is>
      </c>
      <c r="B132" s="10" t="n">
        <v>520</v>
      </c>
      <c r="C132" s="13" t="n">
        <v>47.84487179487179</v>
      </c>
      <c r="D132" s="13" t="n">
        <v>43.98333333333333</v>
      </c>
      <c r="E132" s="13" t="n">
        <v>18.06644517376544</v>
      </c>
      <c r="F132" s="12" t="n">
        <v>0.5028901734104047</v>
      </c>
      <c r="G132" s="10" t="n">
        <v>3085.384615384615</v>
      </c>
    </row>
    <row r="133">
      <c r="A133" s="9" t="inlineStr">
        <is>
          <t>bubble-tea</t>
        </is>
      </c>
      <c r="B133" s="10" t="n">
        <v>519</v>
      </c>
      <c r="C133" s="13" t="n">
        <v>47.27443802183686</v>
      </c>
      <c r="D133" s="13" t="n">
        <v>44.68333333333333</v>
      </c>
      <c r="E133" s="13" t="n">
        <v>16.70947567096544</v>
      </c>
      <c r="F133" s="12" t="n">
        <v>0.1464354527938343</v>
      </c>
      <c r="G133" s="10" t="n">
        <v>1679.28323699422</v>
      </c>
    </row>
    <row r="134">
      <c r="A134" s="9" t="inlineStr">
        <is>
          <t>convenience-store</t>
        </is>
      </c>
      <c r="B134" s="10" t="n">
        <v>348</v>
      </c>
      <c r="C134" s="13" t="n">
        <v>46.43271072796935</v>
      </c>
      <c r="D134" s="13" t="n">
        <v>41.95833333333334</v>
      </c>
      <c r="E134" s="13" t="n">
        <v>25.87824249460625</v>
      </c>
      <c r="F134" s="12" t="n">
        <v>0.09248554913294797</v>
      </c>
      <c r="G134" s="10" t="n">
        <v>1379.336206896552</v>
      </c>
    </row>
    <row r="135">
      <c r="A135" s="9" t="inlineStr">
        <is>
          <t>cajun</t>
        </is>
      </c>
      <c r="B135" s="10" t="n">
        <v>316</v>
      </c>
      <c r="C135" s="13" t="n">
        <v>52.50089662447257</v>
      </c>
      <c r="D135" s="13" t="n">
        <v>48.19166666666666</v>
      </c>
      <c r="E135" s="13" t="n">
        <v>18.27212326500404</v>
      </c>
      <c r="F135" s="12" t="n">
        <v>0.5822784810126582</v>
      </c>
      <c r="G135" s="10" t="n">
        <v>3350.018987341772</v>
      </c>
    </row>
    <row r="136">
      <c r="A136" s="9" t="inlineStr">
        <is>
          <t>brazilian</t>
        </is>
      </c>
      <c r="B136" s="10" t="n">
        <v>310</v>
      </c>
      <c r="C136" s="13" t="n">
        <v>55.97295698924731</v>
      </c>
      <c r="D136" s="13" t="n">
        <v>52.38333333333333</v>
      </c>
      <c r="E136" s="13" t="n">
        <v>21.18166549004919</v>
      </c>
      <c r="F136" s="12" t="n">
        <v>0.4838709677419355</v>
      </c>
      <c r="G136" s="10" t="n">
        <v>3022.806451612903</v>
      </c>
    </row>
    <row r="137">
      <c r="A137" s="9" t="inlineStr">
        <is>
          <t>nepalese</t>
        </is>
      </c>
      <c r="B137" s="10" t="n">
        <v>299</v>
      </c>
      <c r="C137" s="13" t="n">
        <v>48.45022296544036</v>
      </c>
      <c r="D137" s="13" t="n">
        <v>45.96666666666667</v>
      </c>
      <c r="E137" s="13" t="n">
        <v>18.2549338520484</v>
      </c>
      <c r="F137" s="12" t="n">
        <v>0.3377926421404682</v>
      </c>
      <c r="G137" s="10" t="n">
        <v>2595.76254180602</v>
      </c>
    </row>
    <row r="138">
      <c r="A138" s="9" t="inlineStr">
        <is>
          <t>vegan</t>
        </is>
      </c>
      <c r="B138" s="10" t="n">
        <v>279</v>
      </c>
      <c r="C138" s="13" t="n">
        <v>47.90334528076463</v>
      </c>
      <c r="D138" s="13" t="n">
        <v>44.68333333333333</v>
      </c>
      <c r="E138" s="13" t="n">
        <v>18.8592599910476</v>
      </c>
      <c r="F138" s="12" t="n">
        <v>0.3691756272401434</v>
      </c>
      <c r="G138" s="10" t="n">
        <v>2509.802867383512</v>
      </c>
    </row>
    <row r="139">
      <c r="A139" s="9" t="inlineStr">
        <is>
          <t>filipino</t>
        </is>
      </c>
      <c r="B139" s="10" t="n">
        <v>260</v>
      </c>
      <c r="C139" s="13" t="n">
        <v>50.02826923076923</v>
      </c>
      <c r="D139" s="13" t="n">
        <v>45.14166666666667</v>
      </c>
      <c r="E139" s="13" t="n">
        <v>19.56882865994871</v>
      </c>
      <c r="F139" s="12" t="n">
        <v>0.3513513513513514</v>
      </c>
      <c r="G139" s="10" t="n">
        <v>2560.138461538461</v>
      </c>
    </row>
    <row r="140">
      <c r="A140" s="9" t="inlineStr">
        <is>
          <t>peruvian</t>
        </is>
      </c>
      <c r="B140" s="10" t="n">
        <v>254</v>
      </c>
      <c r="C140" s="13" t="n">
        <v>46.974343832021</v>
      </c>
      <c r="D140" s="13" t="n">
        <v>42.70833333333334</v>
      </c>
      <c r="E140" s="13" t="n">
        <v>18.5449607695846</v>
      </c>
      <c r="F140" s="12" t="n">
        <v>0.547244094488189</v>
      </c>
      <c r="G140" s="10" t="n">
        <v>3167.870078740158</v>
      </c>
    </row>
    <row r="141">
      <c r="A141" s="9" t="inlineStr">
        <is>
          <t>caribbean</t>
        </is>
      </c>
      <c r="B141" s="10" t="n">
        <v>253</v>
      </c>
      <c r="C141" s="13" t="n">
        <v>56.09828722002635</v>
      </c>
      <c r="D141" s="13" t="n">
        <v>52.93333333333333</v>
      </c>
      <c r="E141" s="13" t="n">
        <v>20.15258361211921</v>
      </c>
      <c r="F141" s="12" t="n">
        <v>0.373015873015873</v>
      </c>
      <c r="G141" s="10" t="n">
        <v>2692.640316205534</v>
      </c>
    </row>
    <row r="142">
      <c r="A142" s="9" t="inlineStr">
        <is>
          <t>turkish</t>
        </is>
      </c>
      <c r="B142" s="10" t="n">
        <v>237</v>
      </c>
      <c r="C142" s="13" t="n">
        <v>44.44177215189874</v>
      </c>
      <c r="D142" s="13" t="n">
        <v>41.76666666666667</v>
      </c>
      <c r="E142" s="13" t="n">
        <v>14.85893474200835</v>
      </c>
      <c r="F142" s="12" t="n">
        <v>0.4472573839662447</v>
      </c>
      <c r="G142" s="10" t="n">
        <v>2885.856540084388</v>
      </c>
    </row>
    <row r="143">
      <c r="A143" s="9" t="inlineStr">
        <is>
          <t>gastropub</t>
        </is>
      </c>
      <c r="B143" s="10" t="n">
        <v>184</v>
      </c>
      <c r="C143" s="13" t="n">
        <v>45.82228260869565</v>
      </c>
      <c r="D143" s="13" t="n">
        <v>43.75833333333334</v>
      </c>
      <c r="E143" s="13" t="n">
        <v>16.6331610894444</v>
      </c>
      <c r="F143" s="12" t="n">
        <v>0.554945054945055</v>
      </c>
      <c r="G143" s="10" t="n">
        <v>3330.646739130435</v>
      </c>
    </row>
    <row r="144">
      <c r="A144" s="9" t="inlineStr">
        <is>
          <t>southern</t>
        </is>
      </c>
      <c r="B144" s="10" t="n">
        <v>156</v>
      </c>
      <c r="C144" s="13" t="n">
        <v>51.07553418803419</v>
      </c>
      <c r="D144" s="13" t="n">
        <v>48.25833333333333</v>
      </c>
      <c r="E144" s="13" t="n">
        <v>18.01167825262941</v>
      </c>
      <c r="F144" s="12" t="n">
        <v>0.5641025641025641</v>
      </c>
      <c r="G144" s="10" t="n">
        <v>3069.070512820513</v>
      </c>
    </row>
    <row r="145">
      <c r="A145" s="9" t="inlineStr">
        <is>
          <t>tapas</t>
        </is>
      </c>
      <c r="B145" s="10" t="n">
        <v>146</v>
      </c>
      <c r="C145" s="13" t="n">
        <v>54.25057077625571</v>
      </c>
      <c r="D145" s="13" t="n">
        <v>50.23333333333333</v>
      </c>
      <c r="E145" s="13" t="n">
        <v>24.74160095223489</v>
      </c>
      <c r="F145" s="12" t="n">
        <v>0.4246575342465753</v>
      </c>
      <c r="G145" s="10" t="n">
        <v>2789.027397260274</v>
      </c>
    </row>
    <row r="146">
      <c r="A146" s="9" t="inlineStr">
        <is>
          <t>pakistani</t>
        </is>
      </c>
      <c r="B146" s="10" t="n">
        <v>139</v>
      </c>
      <c r="C146" s="13" t="n">
        <v>47.60731414868106</v>
      </c>
      <c r="D146" s="13" t="n">
        <v>46.15</v>
      </c>
      <c r="E146" s="13" t="n">
        <v>13.70194003376311</v>
      </c>
      <c r="F146" s="12" t="n">
        <v>0.4676258992805755</v>
      </c>
      <c r="G146" s="10" t="n">
        <v>2880.345323741007</v>
      </c>
    </row>
    <row r="147">
      <c r="A147" s="9" t="inlineStr">
        <is>
          <t>ethiopian</t>
        </is>
      </c>
      <c r="B147" s="10" t="n">
        <v>134</v>
      </c>
      <c r="C147" s="13" t="n">
        <v>49.58594527363184</v>
      </c>
      <c r="D147" s="13" t="n">
        <v>47.225</v>
      </c>
      <c r="E147" s="13" t="n">
        <v>14.22093378161373</v>
      </c>
      <c r="F147" s="12" t="n">
        <v>0.5447761194029851</v>
      </c>
      <c r="G147" s="10" t="n">
        <v>3164.238805970149</v>
      </c>
    </row>
    <row r="148">
      <c r="A148" s="9" t="inlineStr">
        <is>
          <t>british</t>
        </is>
      </c>
      <c r="B148" s="10" t="n">
        <v>133</v>
      </c>
      <c r="C148" s="13" t="n">
        <v>48.17531328320802</v>
      </c>
      <c r="D148" s="13" t="n">
        <v>42.85</v>
      </c>
      <c r="E148" s="13" t="n">
        <v>19.046339534662</v>
      </c>
      <c r="F148" s="12" t="n">
        <v>0.518796992481203</v>
      </c>
      <c r="G148" s="10" t="n">
        <v>3083.082706766917</v>
      </c>
    </row>
    <row r="149">
      <c r="A149" s="9" t="inlineStr">
        <is>
          <t>afghan</t>
        </is>
      </c>
      <c r="B149" s="10" t="n">
        <v>119</v>
      </c>
      <c r="C149" s="13" t="n">
        <v>51.66316526610645</v>
      </c>
      <c r="D149" s="13" t="n">
        <v>47.01666666666667</v>
      </c>
      <c r="E149" s="13" t="n">
        <v>27.88965991710306</v>
      </c>
      <c r="F149" s="12" t="n">
        <v>0.4786324786324787</v>
      </c>
      <c r="G149" s="10" t="n">
        <v>2985.075630252101</v>
      </c>
    </row>
    <row r="150">
      <c r="A150" s="9" t="inlineStr">
        <is>
          <t>malaysian</t>
        </is>
      </c>
      <c r="B150" s="10" t="n">
        <v>102</v>
      </c>
      <c r="C150" s="13" t="n">
        <v>52.29019607843138</v>
      </c>
      <c r="D150" s="13" t="n">
        <v>51.875</v>
      </c>
      <c r="E150" s="13" t="n">
        <v>17.87644865969873</v>
      </c>
      <c r="F150" s="12" t="n">
        <v>0.6176470588235294</v>
      </c>
      <c r="G150" s="10" t="n">
        <v>3274.901960784314</v>
      </c>
    </row>
    <row r="151">
      <c r="A151" s="9" t="inlineStr">
        <is>
          <t>soup</t>
        </is>
      </c>
      <c r="B151" s="10" t="n">
        <v>74</v>
      </c>
      <c r="C151" s="13" t="n">
        <v>47.27072072072072</v>
      </c>
      <c r="D151" s="13" t="n">
        <v>41.24166666666667</v>
      </c>
      <c r="E151" s="13" t="n">
        <v>21.10778417062505</v>
      </c>
      <c r="F151" s="12" t="n">
        <v>0.1891891891891892</v>
      </c>
      <c r="G151" s="10" t="n">
        <v>1939.594594594595</v>
      </c>
    </row>
    <row r="152">
      <c r="A152" s="9" t="inlineStr">
        <is>
          <t>argentine</t>
        </is>
      </c>
      <c r="B152" s="10" t="n">
        <v>72</v>
      </c>
      <c r="C152" s="13" t="n">
        <v>49.33842592592593</v>
      </c>
      <c r="D152" s="13" t="n">
        <v>47.66666666666667</v>
      </c>
      <c r="E152" s="13" t="n">
        <v>20.59193945626142</v>
      </c>
      <c r="F152" s="12" t="n">
        <v>0.5972222222222222</v>
      </c>
      <c r="G152" s="10" t="n">
        <v>4229.347222222223</v>
      </c>
    </row>
    <row r="153">
      <c r="A153" s="9" t="inlineStr">
        <is>
          <t>german</t>
        </is>
      </c>
      <c r="B153" s="10" t="n">
        <v>68</v>
      </c>
      <c r="C153" s="13" t="n">
        <v>46.51151960784313</v>
      </c>
      <c r="D153" s="13" t="n">
        <v>45.43333333333334</v>
      </c>
      <c r="E153" s="13" t="n">
        <v>13.1137254370026</v>
      </c>
      <c r="F153" s="12" t="n">
        <v>0.5294117647058824</v>
      </c>
      <c r="G153" s="10" t="n">
        <v>3596.058823529412</v>
      </c>
    </row>
    <row r="154">
      <c r="A154" s="9" t="inlineStr">
        <is>
          <t>gluten-free</t>
        </is>
      </c>
      <c r="B154" s="10" t="n">
        <v>62</v>
      </c>
      <c r="C154" s="13" t="n">
        <v>42.02849462365591</v>
      </c>
      <c r="D154" s="13" t="n">
        <v>39.55833333333334</v>
      </c>
      <c r="E154" s="13" t="n">
        <v>15.09916021594402</v>
      </c>
      <c r="F154" s="12" t="n">
        <v>0.4516129032258064</v>
      </c>
      <c r="G154" s="10" t="n">
        <v>2839.33870967742</v>
      </c>
    </row>
    <row r="155">
      <c r="A155" s="9" t="inlineStr">
        <is>
          <t>irish</t>
        </is>
      </c>
      <c r="B155" s="10" t="n">
        <v>55</v>
      </c>
      <c r="C155" s="13" t="n">
        <v>48.42666666666667</v>
      </c>
      <c r="D155" s="13" t="n">
        <v>46.85</v>
      </c>
      <c r="E155" s="13" t="n">
        <v>13.16091748212082</v>
      </c>
      <c r="F155" s="12" t="n">
        <v>0.6666666666666666</v>
      </c>
      <c r="G155" s="10" t="n">
        <v>3373.272727272727</v>
      </c>
    </row>
    <row r="156">
      <c r="A156" s="9" t="inlineStr">
        <is>
          <t>kosher</t>
        </is>
      </c>
      <c r="B156" s="10" t="n">
        <v>51</v>
      </c>
      <c r="C156" s="13" t="n">
        <v>41.57614379084967</v>
      </c>
      <c r="D156" s="13" t="n">
        <v>34.68333333333333</v>
      </c>
      <c r="E156" s="13" t="n">
        <v>18.19760339986864</v>
      </c>
      <c r="F156" s="12" t="n">
        <v>0.46</v>
      </c>
      <c r="G156" s="10" t="n">
        <v>2824.549019607843</v>
      </c>
    </row>
    <row r="157">
      <c r="A157" s="9" t="inlineStr">
        <is>
          <t>spanish</t>
        </is>
      </c>
      <c r="B157" s="10" t="n">
        <v>37</v>
      </c>
      <c r="C157" s="13" t="n">
        <v>56.17837837837838</v>
      </c>
      <c r="D157" s="13" t="n">
        <v>50.93333333333333</v>
      </c>
      <c r="E157" s="13" t="n">
        <v>22.32446129223851</v>
      </c>
      <c r="F157" s="12" t="n">
        <v>0.6216216216216216</v>
      </c>
      <c r="G157" s="10" t="n">
        <v>3390.54054054054</v>
      </c>
    </row>
    <row r="158">
      <c r="A158" s="9" t="inlineStr">
        <is>
          <t>singaporean</t>
        </is>
      </c>
      <c r="B158" s="10" t="n">
        <v>33</v>
      </c>
      <c r="C158" s="13" t="n">
        <v>46.77424242424242</v>
      </c>
      <c r="D158" s="13" t="n">
        <v>45.73333333333333</v>
      </c>
      <c r="E158" s="13" t="n">
        <v>15.0429259000315</v>
      </c>
      <c r="F158" s="12" t="n">
        <v>0.6060606060606061</v>
      </c>
      <c r="G158" s="10" t="n">
        <v>4095.848484848485</v>
      </c>
    </row>
    <row r="159">
      <c r="A159" s="9" t="inlineStr">
        <is>
          <t>comfort-food</t>
        </is>
      </c>
      <c r="B159" s="10" t="n">
        <v>28</v>
      </c>
      <c r="C159" s="13" t="n">
        <v>51.03035714285714</v>
      </c>
      <c r="D159" s="13" t="n">
        <v>42.88333333333333</v>
      </c>
      <c r="E159" s="13" t="n">
        <v>26.16615634226409</v>
      </c>
      <c r="F159" s="12" t="n">
        <v>0.3571428571428572</v>
      </c>
      <c r="G159" s="10" t="n">
        <v>2141.107142857143</v>
      </c>
    </row>
    <row r="160">
      <c r="A160" s="9" t="inlineStr">
        <is>
          <t>moroccan</t>
        </is>
      </c>
      <c r="B160" s="10" t="n">
        <v>25</v>
      </c>
      <c r="C160" s="13" t="n">
        <v>50.03</v>
      </c>
      <c r="D160" s="13" t="n">
        <v>47.43333333333333</v>
      </c>
      <c r="E160" s="13" t="n">
        <v>16.36934804919107</v>
      </c>
      <c r="F160" s="12" t="n">
        <v>0.8</v>
      </c>
      <c r="G160" s="10" t="n">
        <v>4297.04</v>
      </c>
    </row>
    <row r="161">
      <c r="A161" s="9" t="inlineStr">
        <is>
          <t>cheese</t>
        </is>
      </c>
      <c r="B161" s="10" t="n">
        <v>24</v>
      </c>
      <c r="C161" s="13" t="n">
        <v>49.3798611111111</v>
      </c>
      <c r="D161" s="13" t="n">
        <v>46.27500000000001</v>
      </c>
      <c r="E161" s="13" t="n">
        <v>15.04752533875424</v>
      </c>
      <c r="F161" s="12" t="n">
        <v>0.7083333333333334</v>
      </c>
      <c r="G161" s="10" t="n">
        <v>4926.208333333333</v>
      </c>
    </row>
    <row r="162">
      <c r="A162" s="9" t="inlineStr">
        <is>
          <t>european</t>
        </is>
      </c>
      <c r="B162" s="10" t="n">
        <v>22</v>
      </c>
      <c r="C162" s="13" t="n">
        <v>48.68863636363637</v>
      </c>
      <c r="D162" s="13" t="n">
        <v>44.775</v>
      </c>
      <c r="E162" s="13" t="n">
        <v>21.22269386974672</v>
      </c>
      <c r="F162" s="12" t="n">
        <v>0.4545454545454545</v>
      </c>
      <c r="G162" s="10" t="n">
        <v>2960.818181818182</v>
      </c>
    </row>
    <row r="163">
      <c r="A163" s="9" t="inlineStr">
        <is>
          <t>russian</t>
        </is>
      </c>
      <c r="B163" s="10" t="n">
        <v>19</v>
      </c>
      <c r="C163" s="13" t="n">
        <v>51.5078947368421</v>
      </c>
      <c r="D163" s="13" t="n">
        <v>51.05</v>
      </c>
      <c r="E163" s="13" t="n">
        <v>14.55052857257737</v>
      </c>
      <c r="F163" s="12" t="n">
        <v>0.631578947368421</v>
      </c>
      <c r="G163" s="10" t="n">
        <v>3398.105263157895</v>
      </c>
    </row>
    <row r="164">
      <c r="A164" s="9" t="inlineStr">
        <is>
          <t>african</t>
        </is>
      </c>
      <c r="B164" s="10" t="n">
        <v>10</v>
      </c>
      <c r="C164" s="13" t="n">
        <v>50.81</v>
      </c>
      <c r="D164" s="13" t="n">
        <v>50.13333333333333</v>
      </c>
      <c r="E164" s="13" t="n">
        <v>11.4318706547383</v>
      </c>
      <c r="F164" s="12" t="n">
        <v>0.5</v>
      </c>
      <c r="G164" s="10" t="n">
        <v>2699.7</v>
      </c>
    </row>
    <row r="165">
      <c r="A165" s="9" t="inlineStr">
        <is>
          <t>lebanese</t>
        </is>
      </c>
      <c r="B165" s="10" t="n">
        <v>9</v>
      </c>
      <c r="C165" s="13" t="n">
        <v>51.19814814814814</v>
      </c>
      <c r="D165" s="13" t="n">
        <v>46.86666666666667</v>
      </c>
      <c r="E165" s="13" t="n">
        <v>18.29123850000861</v>
      </c>
      <c r="F165" s="12" t="n">
        <v>0.6666666666666666</v>
      </c>
      <c r="G165" s="10" t="n">
        <v>3226.111111111111</v>
      </c>
    </row>
    <row r="166">
      <c r="A166" s="9" t="inlineStr">
        <is>
          <t>belgian</t>
        </is>
      </c>
      <c r="B166" s="10" t="n">
        <v>2</v>
      </c>
      <c r="C166" s="13" t="n">
        <v>54.99166666666666</v>
      </c>
      <c r="D166" s="13" t="n">
        <v>54.99166666666666</v>
      </c>
      <c r="E166" s="13" t="n">
        <v>13.89464825031566</v>
      </c>
      <c r="F166" s="12" t="n">
        <v>0</v>
      </c>
      <c r="G166" s="10" t="n">
        <v>1890</v>
      </c>
    </row>
    <row r="167">
      <c r="A167" s="9" t="inlineStr">
        <is>
          <t>indonesian</t>
        </is>
      </c>
      <c r="B167" s="10" t="n">
        <v>2</v>
      </c>
      <c r="C167" s="13" t="n">
        <v>40.75</v>
      </c>
      <c r="D167" s="13" t="n">
        <v>40.75</v>
      </c>
      <c r="E167" s="13" t="n">
        <v>0.07071067811865074</v>
      </c>
      <c r="F167" s="12" t="n">
        <v>0</v>
      </c>
      <c r="G167" s="10" t="n">
        <v>1620</v>
      </c>
    </row>
    <row r="168">
      <c r="A168" s="9" t="inlineStr">
        <is>
          <t>chocolate</t>
        </is>
      </c>
      <c r="B168" s="10" t="n">
        <v>1</v>
      </c>
      <c r="C168" s="13" t="n">
        <v>34.13333333333333</v>
      </c>
      <c r="D168" s="13" t="n">
        <v>34.13333333333333</v>
      </c>
      <c r="E168" s="13" t="n"/>
      <c r="F168" s="12" t="n">
        <v>0</v>
      </c>
      <c r="G168" s="10" t="n">
        <v>2650</v>
      </c>
    </row>
    <row r="169">
      <c r="A169" s="9" t="inlineStr">
        <is>
          <t>alcohol-plus-food</t>
        </is>
      </c>
      <c r="B169" s="10" t="n">
        <v>1</v>
      </c>
      <c r="C169" s="13" t="n">
        <v>50.76666666666667</v>
      </c>
      <c r="D169" s="13" t="n">
        <v>50.76666666666667</v>
      </c>
      <c r="E169" s="13" t="n"/>
      <c r="F169" s="12" t="n">
        <v>0</v>
      </c>
      <c r="G169" s="10" t="n">
        <v>1699</v>
      </c>
    </row>
  </sheetData>
  <mergeCells count="5">
    <mergeCell ref="A91:G91"/>
    <mergeCell ref="A50:G50"/>
    <mergeCell ref="A2:G2"/>
    <mergeCell ref="A47:G47"/>
    <mergeCell ref="A46:G46"/>
  </mergeCells>
  <pageMargins left="0.75" right="0.75" top="1" bottom="1" header="0.5" footer="0.5"/>
</worksheet>
</file>

<file path=xl/worksheets/sheet5.xml><?xml version="1.0" encoding="utf-8"?>
<worksheet xmlns="http://schemas.openxmlformats.org/spreadsheetml/2006/main">
  <sheetPr>
    <tabColor rgb="00BF8F00"/>
    <outlinePr summaryBelow="1" summaryRight="1"/>
    <pageSetUpPr/>
  </sheetPr>
  <dimension ref="A1:G51"/>
  <sheetViews>
    <sheetView showGridLines="0" workbookViewId="0">
      <selection activeCell="A1" sqref="A1"/>
    </sheetView>
  </sheetViews>
  <sheetFormatPr baseColWidth="8" defaultRowHeight="15"/>
  <cols>
    <col width="22" customWidth="1" min="1" max="1"/>
    <col width="14" customWidth="1" min="2" max="2"/>
    <col width="18" customWidth="1" min="3" max="3"/>
    <col width="18" customWidth="1" min="4" max="4"/>
    <col width="16" customWidth="1" min="5" max="5"/>
    <col width="16" customWidth="1" min="6" max="6"/>
    <col width="16" customWidth="1" min="7" max="7"/>
  </cols>
  <sheetData>
    <row r="1" ht="26" customHeight="1">
      <c r="A1" s="1" t="inlineStr">
        <is>
          <t>When do orders happen and how does delivery time change?</t>
        </is>
      </c>
      <c r="B1" s="2" t="n"/>
      <c r="C1" s="2" t="n"/>
      <c r="D1" s="2" t="n"/>
      <c r="E1" s="2" t="n"/>
      <c r="F1" s="2" t="n"/>
      <c r="G1" s="2" t="n"/>
    </row>
    <row r="2" ht="17.5" customHeight="1">
      <c r="A2" s="3" t="inlineStr">
        <is>
          <t>Hour = hour of created_at as recorded (looks like UTC).</t>
        </is>
      </c>
    </row>
    <row r="5">
      <c r="A5" s="7" t="inlineStr">
        <is>
          <t>Basic Q3 - Peak hours for order placement</t>
        </is>
      </c>
      <c r="B5" s="8" t="n"/>
      <c r="C5" s="8" t="n"/>
      <c r="D5" s="8" t="n"/>
      <c r="E5" s="8" t="n"/>
      <c r="F5" s="8" t="n"/>
      <c r="G5" s="8" t="n"/>
    </row>
    <row r="6" ht="30" customHeight="1">
      <c r="A6" s="4" t="inlineStr">
        <is>
          <t>Hour</t>
        </is>
      </c>
      <c r="B6" s="4" t="inlineStr">
        <is>
          <t>Orders</t>
        </is>
      </c>
      <c r="C6" s="4" t="inlineStr">
        <is>
          <t>Share</t>
        </is>
      </c>
      <c r="D6" s="4" t="inlineStr">
        <is>
          <t>Avg delivery (min)</t>
        </is>
      </c>
    </row>
    <row r="7">
      <c r="A7" s="9" t="inlineStr">
        <is>
          <t>0</t>
        </is>
      </c>
      <c r="B7" s="10" t="n">
        <v>12669</v>
      </c>
      <c r="C7" s="12" t="n">
        <v>0.06417347962191898</v>
      </c>
      <c r="D7" s="13" t="n">
        <v>44.13365038019312</v>
      </c>
    </row>
    <row r="8">
      <c r="A8" s="9" t="inlineStr">
        <is>
          <t>1</t>
        </is>
      </c>
      <c r="B8" s="10" t="n">
        <v>28187</v>
      </c>
      <c r="C8" s="12" t="n">
        <v>0.1427782674325543</v>
      </c>
      <c r="D8" s="13" t="n">
        <v>48.93881044453116</v>
      </c>
    </row>
    <row r="9">
      <c r="A9" s="9" t="inlineStr">
        <is>
          <t>2</t>
        </is>
      </c>
      <c r="B9" s="10" t="n">
        <v>36972</v>
      </c>
      <c r="C9" s="12" t="n">
        <v>0.1872777558277361</v>
      </c>
      <c r="D9" s="13" t="n">
        <v>54.8378619856468</v>
      </c>
    </row>
    <row r="10">
      <c r="A10" s="9" t="inlineStr">
        <is>
          <t>3</t>
        </is>
      </c>
      <c r="B10" s="10" t="n">
        <v>27068</v>
      </c>
      <c r="C10" s="12" t="n">
        <v>0.1371100912784042</v>
      </c>
      <c r="D10" s="13" t="n">
        <v>52.56836855327324</v>
      </c>
    </row>
    <row r="11">
      <c r="A11" s="9" t="inlineStr">
        <is>
          <t>4</t>
        </is>
      </c>
      <c r="B11" s="10" t="n">
        <v>15250</v>
      </c>
      <c r="C11" s="12" t="n">
        <v>0.07724726215441348</v>
      </c>
      <c r="D11" s="13" t="n">
        <v>44.60608196721311</v>
      </c>
    </row>
    <row r="12">
      <c r="A12" s="9" t="inlineStr">
        <is>
          <t>5</t>
        </is>
      </c>
      <c r="B12" s="10" t="n">
        <v>7095</v>
      </c>
      <c r="C12" s="12" t="n">
        <v>0.03593897213020089</v>
      </c>
      <c r="D12" s="13" t="n">
        <v>40.04695090439276</v>
      </c>
    </row>
    <row r="13">
      <c r="A13" s="9" t="inlineStr">
        <is>
          <t>6</t>
        </is>
      </c>
      <c r="B13" s="10" t="n">
        <v>1416</v>
      </c>
      <c r="C13" s="12" t="n">
        <v>0.007172598243321278</v>
      </c>
      <c r="D13" s="13" t="n">
        <v>40.74666902071563</v>
      </c>
    </row>
    <row r="14">
      <c r="A14" s="9" t="inlineStr">
        <is>
          <t>7</t>
        </is>
      </c>
      <c r="B14" s="10" t="n">
        <v>11</v>
      </c>
      <c r="C14" s="12" t="n">
        <v>5.571933663597038e-05</v>
      </c>
      <c r="D14" s="13" t="n">
        <v>45.91666666666666</v>
      </c>
    </row>
    <row r="15">
      <c r="A15" s="9" t="inlineStr">
        <is>
          <t>8</t>
        </is>
      </c>
      <c r="B15" s="10" t="n">
        <v>1</v>
      </c>
      <c r="C15" s="12" t="n">
        <v>5.065394239633671e-06</v>
      </c>
      <c r="D15" s="13" t="n">
        <v>544.8333333333334</v>
      </c>
    </row>
    <row r="16">
      <c r="A16" s="9" t="inlineStr">
        <is>
          <t>14</t>
        </is>
      </c>
      <c r="B16" s="10" t="n">
        <v>40</v>
      </c>
      <c r="C16" s="12" t="n">
        <v>0.0002026157695853468</v>
      </c>
      <c r="D16" s="13" t="n">
        <v>67.62666666666667</v>
      </c>
    </row>
    <row r="17">
      <c r="A17" s="9" t="inlineStr">
        <is>
          <t>15</t>
        </is>
      </c>
      <c r="B17" s="10" t="n">
        <v>538</v>
      </c>
      <c r="C17" s="12" t="n">
        <v>0.002725182100922915</v>
      </c>
      <c r="D17" s="13" t="n">
        <v>53.05560718711276</v>
      </c>
    </row>
    <row r="18">
      <c r="A18" s="9" t="inlineStr">
        <is>
          <t>16</t>
        </is>
      </c>
      <c r="B18" s="10" t="n">
        <v>2109</v>
      </c>
      <c r="C18" s="12" t="n">
        <v>0.01068291645138741</v>
      </c>
      <c r="D18" s="13" t="n">
        <v>47.70504188398925</v>
      </c>
    </row>
    <row r="19">
      <c r="A19" s="9" t="inlineStr">
        <is>
          <t>17</t>
        </is>
      </c>
      <c r="B19" s="10" t="n">
        <v>3413</v>
      </c>
      <c r="C19" s="12" t="n">
        <v>0.01728819053986972</v>
      </c>
      <c r="D19" s="13" t="n">
        <v>44.24629358335775</v>
      </c>
    </row>
    <row r="20">
      <c r="A20" s="9" t="inlineStr">
        <is>
          <t>18</t>
        </is>
      </c>
      <c r="B20" s="10" t="n">
        <v>5100</v>
      </c>
      <c r="C20" s="12" t="n">
        <v>0.02583351062213172</v>
      </c>
      <c r="D20" s="13" t="n">
        <v>40.94445424836601</v>
      </c>
    </row>
    <row r="21">
      <c r="A21" s="9" t="inlineStr">
        <is>
          <t>19</t>
        </is>
      </c>
      <c r="B21" s="10" t="n">
        <v>13541</v>
      </c>
      <c r="C21" s="12" t="n">
        <v>0.06859050339887954</v>
      </c>
      <c r="D21" s="13" t="n">
        <v>46.18756000295399</v>
      </c>
    </row>
    <row r="22">
      <c r="A22" s="9" t="inlineStr">
        <is>
          <t>20</t>
        </is>
      </c>
      <c r="B22" s="10" t="n">
        <v>15560</v>
      </c>
      <c r="C22" s="12" t="n">
        <v>0.07881753436869991</v>
      </c>
      <c r="D22" s="13" t="n">
        <v>44.26703191945159</v>
      </c>
    </row>
    <row r="23">
      <c r="A23" s="9" t="inlineStr">
        <is>
          <t>21</t>
        </is>
      </c>
      <c r="B23" s="10" t="n">
        <v>11464</v>
      </c>
      <c r="C23" s="12" t="n">
        <v>0.0580696795631604</v>
      </c>
      <c r="D23" s="13" t="n">
        <v>41.0871961502675</v>
      </c>
    </row>
    <row r="24">
      <c r="A24" s="9" t="inlineStr">
        <is>
          <t>22</t>
        </is>
      </c>
      <c r="B24" s="10" t="n">
        <v>8821</v>
      </c>
      <c r="C24" s="12" t="n">
        <v>0.04468184258780861</v>
      </c>
      <c r="D24" s="13" t="n">
        <v>42.11425386388542</v>
      </c>
    </row>
    <row r="25">
      <c r="A25" s="9" t="inlineStr">
        <is>
          <t>23</t>
        </is>
      </c>
      <c r="B25" s="10" t="n">
        <v>8163</v>
      </c>
      <c r="C25" s="12" t="n">
        <v>0.04134881317812966</v>
      </c>
      <c r="D25" s="13" t="n">
        <v>43.4846625015313</v>
      </c>
    </row>
    <row r="26" ht="31" customHeight="1">
      <c r="A26" s="11" t="inlineStr">
        <is>
          <t>Peak hours are 1:00-3:59: together 46.7% of all orders, with hour 2 the busiest (36,972 orders). A smaller second wave sits at hours 19-20. Almost nothing happens between hours 7 and 14.</t>
        </is>
      </c>
    </row>
    <row r="27" ht="31" customHeight="1">
      <c r="A27" s="14" t="inlineStr">
        <is>
          <t>Business insight: Concentrate partner shifts and incentives in the three peak hours; a smaller top-up is needed around hours 19-21.</t>
        </is>
      </c>
    </row>
    <row r="29">
      <c r="A29" s="7" t="inlineStr">
        <is>
          <t>Basic Q4 - Days with the highest order volumes</t>
        </is>
      </c>
      <c r="B29" s="8" t="n"/>
      <c r="C29" s="8" t="n"/>
      <c r="D29" s="8" t="n"/>
      <c r="E29" s="8" t="n"/>
      <c r="F29" s="8" t="n"/>
      <c r="G29" s="8" t="n"/>
    </row>
    <row r="30" ht="30" customHeight="1">
      <c r="A30" s="4" t="inlineStr">
        <is>
          <t>Day</t>
        </is>
      </c>
      <c r="B30" s="4" t="inlineStr">
        <is>
          <t>Orders</t>
        </is>
      </c>
      <c r="C30" s="4" t="inlineStr">
        <is>
          <t>Full calendar days used</t>
        </is>
      </c>
      <c r="D30" s="4" t="inlineStr">
        <is>
          <t>Orders per day</t>
        </is>
      </c>
    </row>
    <row r="31">
      <c r="A31" s="9" t="inlineStr">
        <is>
          <t>Monday</t>
        </is>
      </c>
      <c r="B31" s="10" t="n">
        <v>27401</v>
      </c>
      <c r="C31" s="15" t="n">
        <v>4</v>
      </c>
      <c r="D31" s="10" t="n">
        <v>6850.25</v>
      </c>
    </row>
    <row r="32">
      <c r="A32" s="9" t="inlineStr">
        <is>
          <t>Tuesday</t>
        </is>
      </c>
      <c r="B32" s="10" t="n">
        <v>24061</v>
      </c>
      <c r="C32" s="15" t="n">
        <v>4</v>
      </c>
      <c r="D32" s="10" t="n">
        <v>6015.25</v>
      </c>
    </row>
    <row r="33">
      <c r="A33" s="9" t="inlineStr">
        <is>
          <t>Wednesday</t>
        </is>
      </c>
      <c r="B33" s="10" t="n">
        <v>24253</v>
      </c>
      <c r="C33" s="15" t="n">
        <v>3</v>
      </c>
      <c r="D33" s="10" t="n">
        <v>6061.333333333333</v>
      </c>
    </row>
    <row r="34">
      <c r="A34" s="9" t="inlineStr">
        <is>
          <t>Thursday</t>
        </is>
      </c>
      <c r="B34" s="10" t="n">
        <v>25673</v>
      </c>
      <c r="C34" s="15" t="n">
        <v>4</v>
      </c>
      <c r="D34" s="10" t="n">
        <v>6418.25</v>
      </c>
    </row>
    <row r="35">
      <c r="A35" s="9" t="inlineStr">
        <is>
          <t>Friday</t>
        </is>
      </c>
      <c r="B35" s="10" t="n">
        <v>27875</v>
      </c>
      <c r="C35" s="15" t="n">
        <v>4</v>
      </c>
      <c r="D35" s="10" t="n">
        <v>6968.75</v>
      </c>
    </row>
    <row r="36">
      <c r="A36" s="9" t="inlineStr">
        <is>
          <t>Saturday</t>
        </is>
      </c>
      <c r="B36" s="10" t="n">
        <v>34541</v>
      </c>
      <c r="C36" s="15" t="n">
        <v>4</v>
      </c>
      <c r="D36" s="10" t="n">
        <v>8635.25</v>
      </c>
    </row>
    <row r="37">
      <c r="A37" s="9" t="inlineStr">
        <is>
          <t>Sunday</t>
        </is>
      </c>
      <c r="B37" s="10" t="n">
        <v>33614</v>
      </c>
      <c r="C37" s="15" t="n">
        <v>4</v>
      </c>
      <c r="D37" s="10" t="n">
        <v>8403.5</v>
      </c>
    </row>
    <row r="38" ht="44.5" customHeight="1">
      <c r="A38" s="11" t="inlineStr">
        <is>
          <t>Saturday (34,541) and Sunday (33,614) are the busiest days. Per full calendar day the weekend is clearly higher (8,635 on Saturday vs 6,015 on Tuesday, the quietest). Weekdays Tuesday-Thursday are all similar (about 6,000-6,400 orders per day). The first and last dates in the file are partial days, so they are left out of the per-day figures.</t>
        </is>
      </c>
    </row>
    <row r="39" ht="31" customHeight="1">
      <c r="A39" s="14" t="inlineStr">
        <is>
          <t>Business insight: Run promotions on Tuesday-Wednesday to lift the slow days, and secure extra partner capacity at the weekend so peak demand does not hurt delivery time.</t>
        </is>
      </c>
    </row>
    <row r="41">
      <c r="A41" s="7" t="inlineStr">
        <is>
          <t>Basic Q9 and Medium Q - Impact of the day of the week on delivery time (trend through the week)</t>
        </is>
      </c>
      <c r="B41" s="8" t="n"/>
      <c r="C41" s="8" t="n"/>
      <c r="D41" s="8" t="n"/>
      <c r="E41" s="8" t="n"/>
      <c r="F41" s="8" t="n"/>
      <c r="G41" s="8" t="n"/>
    </row>
    <row r="42" ht="30" customHeight="1">
      <c r="A42" s="4" t="inlineStr">
        <is>
          <t>Day</t>
        </is>
      </c>
      <c r="B42" s="4" t="inlineStr">
        <is>
          <t>Orders</t>
        </is>
      </c>
      <c r="C42" s="4" t="inlineStr">
        <is>
          <t>Avg delivery (min)</t>
        </is>
      </c>
      <c r="D42" s="4" t="inlineStr">
        <is>
          <t>Median (min)</t>
        </is>
      </c>
      <c r="E42" s="4" t="inlineStr">
        <is>
          <t>Std dev (min)</t>
        </is>
      </c>
    </row>
    <row r="43">
      <c r="A43" s="9" t="inlineStr">
        <is>
          <t>Monday</t>
        </is>
      </c>
      <c r="B43" s="10" t="n">
        <v>27401</v>
      </c>
      <c r="C43" s="13" t="n">
        <v>51.51267897765289</v>
      </c>
      <c r="D43" s="13" t="n">
        <v>46.78333333333333</v>
      </c>
      <c r="E43" s="13" t="n">
        <v>23.12529767665373</v>
      </c>
    </row>
    <row r="44">
      <c r="A44" s="9" t="inlineStr">
        <is>
          <t>Tuesday</t>
        </is>
      </c>
      <c r="B44" s="10" t="n">
        <v>24061</v>
      </c>
      <c r="C44" s="13" t="n">
        <v>46.3307288419711</v>
      </c>
      <c r="D44" s="13" t="n">
        <v>43.33333333333334</v>
      </c>
      <c r="E44" s="13" t="n">
        <v>17.97833783401504</v>
      </c>
    </row>
    <row r="45">
      <c r="A45" s="9" t="inlineStr">
        <is>
          <t>Wednesday</t>
        </is>
      </c>
      <c r="B45" s="10" t="n">
        <v>24253</v>
      </c>
      <c r="C45" s="13" t="n">
        <v>44.21599733366319</v>
      </c>
      <c r="D45" s="13" t="n">
        <v>41.58333333333334</v>
      </c>
      <c r="E45" s="13" t="n">
        <v>17.39364881715852</v>
      </c>
    </row>
    <row r="46">
      <c r="A46" s="9" t="inlineStr">
        <is>
          <t>Thursday</t>
        </is>
      </c>
      <c r="B46" s="10" t="n">
        <v>25673</v>
      </c>
      <c r="C46" s="13" t="n">
        <v>47.10174372557421</v>
      </c>
      <c r="D46" s="13" t="n">
        <v>43.38333333333333</v>
      </c>
      <c r="E46" s="13" t="n">
        <v>20.41073986231617</v>
      </c>
    </row>
    <row r="47">
      <c r="A47" s="9" t="inlineStr">
        <is>
          <t>Friday</t>
        </is>
      </c>
      <c r="B47" s="10" t="n">
        <v>27875</v>
      </c>
      <c r="C47" s="13" t="n">
        <v>44.74618475336322</v>
      </c>
      <c r="D47" s="13" t="n">
        <v>42.35</v>
      </c>
      <c r="E47" s="13" t="n">
        <v>16.17624375794875</v>
      </c>
    </row>
    <row r="48">
      <c r="A48" s="9" t="inlineStr">
        <is>
          <t>Saturday</t>
        </is>
      </c>
      <c r="B48" s="10" t="n">
        <v>34541</v>
      </c>
      <c r="C48" s="13" t="n">
        <v>50.08621879312508</v>
      </c>
      <c r="D48" s="13" t="n">
        <v>47.1</v>
      </c>
      <c r="E48" s="13" t="n">
        <v>18.94528233642518</v>
      </c>
    </row>
    <row r="49">
      <c r="A49" s="9" t="inlineStr">
        <is>
          <t>Sunday</t>
        </is>
      </c>
      <c r="B49" s="10" t="n">
        <v>33614</v>
      </c>
      <c r="C49" s="13" t="n">
        <v>48.49943773427739</v>
      </c>
      <c r="D49" s="13" t="n">
        <v>45.31666666666667</v>
      </c>
      <c r="E49" s="13" t="n">
        <v>19.62814770067576</v>
      </c>
    </row>
    <row r="50" ht="44.5" customHeight="1">
      <c r="A50" s="11" t="inlineStr">
        <is>
          <t>Monday is the slowest day (51.5 min avg, 7.3 min slower than the fastest, Wednesday) followed by Saturday (50.1) and Sunday (48.5). Wednesday and Friday are the fastest (about 44-45 min). Monday is slow despite average volume, so it is not only a demand problem.</t>
        </is>
      </c>
    </row>
    <row r="51" ht="31" customHeight="1">
      <c r="A51" s="14" t="inlineStr">
        <is>
          <t>Business insight: Monday needs a specific fix (partner scheduling or restaurant readiness after the weekend); weekend slowness is capacity-driven and can be tackled with weekend partner incentives.</t>
        </is>
      </c>
    </row>
  </sheetData>
  <mergeCells count="7">
    <mergeCell ref="A27:G27"/>
    <mergeCell ref="A39:G39"/>
    <mergeCell ref="A50:G50"/>
    <mergeCell ref="A26:G26"/>
    <mergeCell ref="A38:G38"/>
    <mergeCell ref="A2:G2"/>
    <mergeCell ref="A51:G51"/>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C00000"/>
    <outlinePr summaryBelow="1" summaryRight="1"/>
    <pageSetUpPr/>
  </sheetPr>
  <dimension ref="A1:F61"/>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s>
  <sheetData>
    <row r="1" ht="26" customHeight="1">
      <c r="A1" s="1" t="inlineStr">
        <is>
          <t>Delivery time distribution, outliers and on-time rate</t>
        </is>
      </c>
      <c r="B1" s="2" t="n"/>
      <c r="C1" s="2" t="n"/>
      <c r="D1" s="2" t="n"/>
      <c r="E1" s="2" t="n"/>
      <c r="F1" s="2" t="n"/>
    </row>
    <row r="4">
      <c r="A4" s="7" t="inlineStr">
        <is>
          <t>Basic Q6 - Distribution and outliers</t>
        </is>
      </c>
      <c r="B4" s="8" t="n"/>
      <c r="C4" s="8" t="n"/>
      <c r="D4" s="8" t="n"/>
      <c r="E4" s="8" t="n"/>
      <c r="F4" s="8" t="n"/>
    </row>
    <row r="5" ht="30" customHeight="1">
      <c r="A5" s="4" t="inlineStr">
        <is>
          <t>Statistic</t>
        </is>
      </c>
      <c r="B5" s="4" t="inlineStr">
        <is>
          <t>Value</t>
        </is>
      </c>
    </row>
    <row r="6">
      <c r="A6" s="9" t="inlineStr">
        <is>
          <t>Orders</t>
        </is>
      </c>
      <c r="B6" s="10" t="n">
        <v>197418</v>
      </c>
    </row>
    <row r="7">
      <c r="A7" s="9" t="inlineStr">
        <is>
          <t>Mean (min)</t>
        </is>
      </c>
      <c r="B7" s="16" t="n">
        <v>47.69303871311971</v>
      </c>
    </row>
    <row r="8">
      <c r="A8" s="9" t="inlineStr">
        <is>
          <t>Median (min)</t>
        </is>
      </c>
      <c r="B8" s="16" t="n">
        <v>44.33333333333334</v>
      </c>
    </row>
    <row r="9">
      <c r="A9" s="9" t="inlineStr">
        <is>
          <t>Std dev (min)</t>
        </is>
      </c>
      <c r="B9" s="16" t="n">
        <v>19.40145690774727</v>
      </c>
    </row>
    <row r="10">
      <c r="A10" s="9" t="inlineStr">
        <is>
          <t>Minimum (min)</t>
        </is>
      </c>
      <c r="B10" s="16" t="n">
        <v>1.683333333333333</v>
      </c>
    </row>
    <row r="11">
      <c r="A11" s="9" t="inlineStr">
        <is>
          <t>1st percentile</t>
        </is>
      </c>
      <c r="B11" s="16" t="n">
        <v>19.2</v>
      </c>
    </row>
    <row r="12">
      <c r="A12" s="9" t="inlineStr">
        <is>
          <t>5th percentile</t>
        </is>
      </c>
      <c r="B12" s="16" t="n">
        <v>24.86666666666667</v>
      </c>
    </row>
    <row r="13">
      <c r="A13" s="9" t="inlineStr">
        <is>
          <t>25th percentile</t>
        </is>
      </c>
      <c r="B13" s="16" t="n">
        <v>35.06666666666667</v>
      </c>
    </row>
    <row r="14">
      <c r="A14" s="9" t="inlineStr">
        <is>
          <t>75th percentile</t>
        </is>
      </c>
      <c r="B14" s="16" t="n">
        <v>56.35</v>
      </c>
    </row>
    <row r="15">
      <c r="A15" s="9" t="inlineStr">
        <is>
          <t>95th percentile</t>
        </is>
      </c>
      <c r="B15" s="16" t="n">
        <v>81.2</v>
      </c>
    </row>
    <row r="16">
      <c r="A16" s="9" t="inlineStr">
        <is>
          <t>99th percentile</t>
        </is>
      </c>
      <c r="B16" s="16" t="n">
        <v>107.8804999999998</v>
      </c>
    </row>
    <row r="17">
      <c r="A17" s="9" t="inlineStr">
        <is>
          <t>Maximum (min)</t>
        </is>
      </c>
      <c r="B17" s="16" t="n">
        <v>950.5333333333333</v>
      </c>
    </row>
    <row r="18">
      <c r="A18" s="9" t="inlineStr">
        <is>
          <t>Skewness</t>
        </is>
      </c>
      <c r="B18" s="16" t="n">
        <v>4.329995224491491</v>
      </c>
    </row>
    <row r="19">
      <c r="A19" s="9" t="inlineStr">
        <is>
          <t>Outlier fence = Q3 + 1.5 x IQR (min)</t>
        </is>
      </c>
      <c r="B19" s="16" t="n">
        <v>88.27500000000001</v>
      </c>
    </row>
    <row r="20">
      <c r="A20" s="9" t="inlineStr">
        <is>
          <t>Outliers above the fence</t>
        </is>
      </c>
      <c r="B20" s="10" t="n">
        <v>6274</v>
      </c>
    </row>
    <row r="21">
      <c r="A21" s="9" t="inlineStr">
        <is>
          <t>Outliers as % of orders</t>
        </is>
      </c>
      <c r="B21" s="12" t="n">
        <v>0.03178028345946165</v>
      </c>
    </row>
    <row r="22">
      <c r="A22" s="9" t="inlineStr">
        <is>
          <t>Orders above 120 min</t>
        </is>
      </c>
      <c r="B22" s="10" t="n">
        <v>1087</v>
      </c>
    </row>
    <row r="23">
      <c r="A23" s="9" t="inlineStr">
        <is>
          <t>Orders above 180 min</t>
        </is>
      </c>
      <c r="B23" s="10" t="n">
        <v>135</v>
      </c>
    </row>
    <row r="24">
      <c r="A24" s="9" t="inlineStr">
        <is>
          <t>Mean without outliers (min)</t>
        </is>
      </c>
      <c r="B24" s="16" t="n">
        <v>45.69242970395791</v>
      </c>
    </row>
    <row r="27">
      <c r="A27" s="7" t="inlineStr">
        <is>
          <t>Histogram of delivery time</t>
        </is>
      </c>
      <c r="B27" s="8" t="n"/>
      <c r="C27" s="8" t="n"/>
      <c r="D27" s="8" t="n"/>
      <c r="E27" s="8" t="n"/>
      <c r="F27" s="8" t="n"/>
    </row>
    <row r="28" ht="30" customHeight="1">
      <c r="A28" s="4" t="inlineStr">
        <is>
          <t>Delivery time (min)</t>
        </is>
      </c>
      <c r="B28" s="4" t="inlineStr">
        <is>
          <t>Orders</t>
        </is>
      </c>
    </row>
    <row r="29">
      <c r="A29" s="9" t="inlineStr">
        <is>
          <t>&lt;=20</t>
        </is>
      </c>
      <c r="B29" s="10" t="n">
        <v>2575</v>
      </c>
    </row>
    <row r="30">
      <c r="A30" s="9" t="inlineStr">
        <is>
          <t>20-30</t>
        </is>
      </c>
      <c r="B30" s="10" t="n">
        <v>23401</v>
      </c>
    </row>
    <row r="31">
      <c r="A31" s="9" t="inlineStr">
        <is>
          <t>30-40</t>
        </is>
      </c>
      <c r="B31" s="10" t="n">
        <v>49715</v>
      </c>
    </row>
    <row r="32">
      <c r="A32" s="9" t="inlineStr">
        <is>
          <t>40-50</t>
        </is>
      </c>
      <c r="B32" s="10" t="n">
        <v>49466</v>
      </c>
    </row>
    <row r="33">
      <c r="A33" s="9" t="inlineStr">
        <is>
          <t>50-60</t>
        </is>
      </c>
      <c r="B33" s="10" t="n">
        <v>33035</v>
      </c>
    </row>
    <row r="34">
      <c r="A34" s="9" t="inlineStr">
        <is>
          <t>60-75</t>
        </is>
      </c>
      <c r="B34" s="10" t="n">
        <v>24498</v>
      </c>
    </row>
    <row r="35">
      <c r="A35" s="9" t="inlineStr">
        <is>
          <t>75-90</t>
        </is>
      </c>
      <c r="B35" s="10" t="n">
        <v>9086</v>
      </c>
    </row>
    <row r="36">
      <c r="A36" s="9" t="inlineStr">
        <is>
          <t>90-120</t>
        </is>
      </c>
      <c r="B36" s="10" t="n">
        <v>4555</v>
      </c>
    </row>
    <row r="37">
      <c r="A37" s="9" t="inlineStr">
        <is>
          <t>120-180</t>
        </is>
      </c>
      <c r="B37" s="10" t="n">
        <v>952</v>
      </c>
    </row>
    <row r="38">
      <c r="A38" s="9" t="inlineStr">
        <is>
          <t>&gt;180</t>
        </is>
      </c>
      <c r="B38" s="10" t="n">
        <v>135</v>
      </c>
    </row>
    <row r="39" ht="58" customHeight="1">
      <c r="A39" s="11" t="inlineStr">
        <is>
          <t>The distribution is right-skewed (skewness 4.3): most orders arrive in 35-56 minutes (middle 50%), but a long tail pulls the mean (47.7) above the median (44.3). 6,274 orders (3.2%) are statistical outliers (above 88 min) and 135 take more than 3 hours (maximum 951 min, about 16 hours). A handful of unrealistically short times (minimum 1.7 min) also exist.</t>
        </is>
      </c>
    </row>
    <row r="40" ht="44.5" customHeight="1">
      <c r="A40" s="14" t="inlineStr">
        <is>
          <t>Business insight: Use the median and the 95th percentile (81 min) for service-level targets rather than the mean. The few extreme delays (3+ hours) should be reviewed individually: they are likely failed or re-assigned orders.</t>
        </is>
      </c>
    </row>
    <row r="42">
      <c r="A42" s="7" t="inlineStr">
        <is>
          <t>Basic Q7 - Percentage of orders delivered within 30 minutes</t>
        </is>
      </c>
      <c r="B42" s="8" t="n"/>
      <c r="C42" s="8" t="n"/>
      <c r="D42" s="8" t="n"/>
      <c r="E42" s="8" t="n"/>
      <c r="F42" s="8" t="n"/>
    </row>
    <row r="43" ht="30" customHeight="1">
      <c r="A43" s="4" t="inlineStr">
        <is>
          <t>Target</t>
        </is>
      </c>
      <c r="B43" s="4" t="inlineStr">
        <is>
          <t>% of orders</t>
        </is>
      </c>
    </row>
    <row r="44">
      <c r="A44" s="9" t="inlineStr">
        <is>
          <t>Within 30 min</t>
        </is>
      </c>
      <c r="B44" s="12" t="n">
        <v>0.1315786807687242</v>
      </c>
    </row>
    <row r="45">
      <c r="A45" s="9" t="inlineStr">
        <is>
          <t>Within 45 min</t>
        </is>
      </c>
      <c r="B45" s="12" t="n">
        <v>0.5173439098765057</v>
      </c>
    </row>
    <row r="46">
      <c r="A46" s="9" t="inlineStr">
        <is>
          <t>Within 60 min</t>
        </is>
      </c>
      <c r="B46" s="12" t="n">
        <v>0.8013048455561297</v>
      </c>
    </row>
    <row r="47" ht="31" customHeight="1">
      <c r="A47" s="11" t="inlineStr">
        <is>
          <t>Only 13.2% of orders are delivered within 30 minutes. Half arrive within about 44 minutes and 80% within 60 minutes.</t>
        </is>
      </c>
    </row>
    <row r="48" ht="31" customHeight="1">
      <c r="A48" s="14" t="inlineStr">
        <is>
          <t>Business insight: A 30-minute promise cannot be made today. A "within 60 minutes" promise is realistic (80% hit rate) and could be sold as a reliability feature while operations work towards faster times.</t>
        </is>
      </c>
    </row>
    <row r="50">
      <c r="A50" s="7" t="inlineStr">
        <is>
          <t>Medium Q - Is there significant variance within markets or categories?</t>
        </is>
      </c>
      <c r="B50" s="8" t="n"/>
      <c r="C50" s="8" t="n"/>
      <c r="D50" s="8" t="n"/>
      <c r="E50" s="8" t="n"/>
      <c r="F50" s="8" t="n"/>
    </row>
    <row r="51" ht="44.5" customHeight="1">
      <c r="A51" s="11" t="inlineStr">
        <is>
          <t>Markets: std dev ranges 17.9-22.4 min (see Markets sheet). Highest-variance market x category combinations (300+ orders) are below. Tests: Levene p &lt; 0.001 for both markets and categories (variances differ), but the effect is small.</t>
        </is>
      </c>
    </row>
    <row r="52" ht="30" customHeight="1">
      <c r="A52" s="4" t="inlineStr">
        <is>
          <t>Market</t>
        </is>
      </c>
      <c r="B52" s="4" t="inlineStr">
        <is>
          <t>Category</t>
        </is>
      </c>
      <c r="C52" s="4" t="inlineStr">
        <is>
          <t>Orders</t>
        </is>
      </c>
      <c r="D52" s="4" t="inlineStr">
        <is>
          <t>Avg delivery (min)</t>
        </is>
      </c>
      <c r="E52" s="4" t="inlineStr">
        <is>
          <t>Std dev (min)</t>
        </is>
      </c>
    </row>
    <row r="53">
      <c r="A53" s="9" t="n">
        <v>1</v>
      </c>
      <c r="B53" s="9" t="inlineStr">
        <is>
          <t>indian</t>
        </is>
      </c>
      <c r="C53" s="10" t="n">
        <v>620</v>
      </c>
      <c r="D53" s="13" t="n">
        <v>53.5566935483871</v>
      </c>
      <c r="E53" s="13" t="n">
        <v>39.76072444849533</v>
      </c>
    </row>
    <row r="54">
      <c r="A54" s="9" t="n">
        <v>6</v>
      </c>
      <c r="B54" s="9" t="inlineStr">
        <is>
          <t>italian</t>
        </is>
      </c>
      <c r="C54" s="10" t="n">
        <v>383</v>
      </c>
      <c r="D54" s="13" t="n">
        <v>52.67654482158398</v>
      </c>
      <c r="E54" s="13" t="n">
        <v>35.71808827311757</v>
      </c>
    </row>
    <row r="55">
      <c r="A55" s="9" t="n">
        <v>3</v>
      </c>
      <c r="B55" s="9" t="inlineStr">
        <is>
          <t>thai</t>
        </is>
      </c>
      <c r="C55" s="10" t="n">
        <v>661</v>
      </c>
      <c r="D55" s="13" t="n">
        <v>49.34178013111448</v>
      </c>
      <c r="E55" s="13" t="n">
        <v>34.53870856592773</v>
      </c>
    </row>
    <row r="56">
      <c r="A56" s="9" t="n">
        <v>3</v>
      </c>
      <c r="B56" s="9" t="inlineStr">
        <is>
          <t>mediterranean</t>
        </is>
      </c>
      <c r="C56" s="10" t="n">
        <v>449</v>
      </c>
      <c r="D56" s="13" t="n">
        <v>48.45348923533778</v>
      </c>
      <c r="E56" s="13" t="n">
        <v>31.787353826547</v>
      </c>
    </row>
    <row r="57">
      <c r="A57" s="9" t="n">
        <v>1</v>
      </c>
      <c r="B57" s="9" t="inlineStr">
        <is>
          <t>cafe</t>
        </is>
      </c>
      <c r="C57" s="10" t="n">
        <v>657</v>
      </c>
      <c r="D57" s="13" t="n">
        <v>49.36382546930492</v>
      </c>
      <c r="E57" s="13" t="n">
        <v>28.59157704330334</v>
      </c>
    </row>
    <row r="58">
      <c r="A58" s="9" t="n">
        <v>2</v>
      </c>
      <c r="B58" s="9" t="inlineStr">
        <is>
          <t>alcohol</t>
        </is>
      </c>
      <c r="C58" s="10" t="n">
        <v>769</v>
      </c>
      <c r="D58" s="13" t="n">
        <v>47.38849154746424</v>
      </c>
      <c r="E58" s="13" t="n">
        <v>27.70528870817485</v>
      </c>
    </row>
    <row r="59">
      <c r="A59" s="9" t="n">
        <v>1</v>
      </c>
      <c r="B59" s="9" t="inlineStr">
        <is>
          <t>sushi</t>
        </is>
      </c>
      <c r="C59" s="10" t="n">
        <v>530</v>
      </c>
      <c r="D59" s="13" t="n">
        <v>57.29716981132076</v>
      </c>
      <c r="E59" s="13" t="n">
        <v>25.61788825516576</v>
      </c>
    </row>
    <row r="60">
      <c r="A60" s="9" t="n">
        <v>3</v>
      </c>
      <c r="B60" s="9" t="inlineStr">
        <is>
          <t>italian</t>
        </is>
      </c>
      <c r="C60" s="10" t="n">
        <v>722</v>
      </c>
      <c r="D60" s="13" t="n">
        <v>51.5842566943675</v>
      </c>
      <c r="E60" s="13" t="n">
        <v>24.90269358333195</v>
      </c>
    </row>
    <row r="61" ht="31" customHeight="1">
      <c r="A61" s="14" t="inlineStr">
        <is>
          <t>Business insight: Indian food in market 1 and Italian in market 6 have std dev of about 36-40 min: very inconsistent. Target these combinations for operational reviews.</t>
        </is>
      </c>
    </row>
  </sheetData>
  <mergeCells count="6">
    <mergeCell ref="A51:F51"/>
    <mergeCell ref="A47:F47"/>
    <mergeCell ref="A61:F61"/>
    <mergeCell ref="A40:F40"/>
    <mergeCell ref="A48:F48"/>
    <mergeCell ref="A39:F39"/>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7030A0"/>
    <outlinePr summaryBelow="1" summaryRight="1"/>
    <pageSetUpPr/>
  </sheetPr>
  <dimension ref="A1:F52"/>
  <sheetViews>
    <sheetView showGridLines="0" workbookViewId="0">
      <selection activeCell="A1" sqref="A1"/>
    </sheetView>
  </sheetViews>
  <sheetFormatPr baseColWidth="8" defaultRowHeight="15"/>
  <cols>
    <col width="26" customWidth="1" min="1" max="1"/>
    <col width="16" customWidth="1" min="2" max="2"/>
    <col width="18" customWidth="1" min="3" max="3"/>
    <col width="18" customWidth="1" min="4" max="4"/>
    <col width="18" customWidth="1" min="5" max="5"/>
    <col width="18" customWidth="1" min="6" max="6"/>
  </cols>
  <sheetData>
    <row r="1" ht="26" customHeight="1">
      <c r="A1" s="1" t="inlineStr">
        <is>
          <t>Delivery partner availability and delivery time</t>
        </is>
      </c>
      <c r="B1" s="2" t="n"/>
      <c r="C1" s="2" t="n"/>
      <c r="D1" s="2" t="n"/>
      <c r="E1" s="2" t="n"/>
      <c r="F1" s="2" t="n"/>
    </row>
    <row r="4">
      <c r="A4" s="7" t="inlineStr">
        <is>
          <t>Basic Q8 - Order volume vs busy partners</t>
        </is>
      </c>
      <c r="B4" s="8" t="n"/>
      <c r="C4" s="8" t="n"/>
      <c r="D4" s="8" t="n"/>
      <c r="E4" s="8" t="n"/>
      <c r="F4" s="8" t="n"/>
    </row>
    <row r="5" ht="30" customHeight="1">
      <c r="A5" s="4" t="inlineStr">
        <is>
          <t>Hour</t>
        </is>
      </c>
      <c r="B5" s="4" t="inlineStr">
        <is>
          <t>Orders</t>
        </is>
      </c>
      <c r="C5" s="4" t="inlineStr">
        <is>
          <t>Avg busy partners</t>
        </is>
      </c>
      <c r="D5" s="4" t="inlineStr">
        <is>
          <t>Avg on-shift partners</t>
        </is>
      </c>
    </row>
    <row r="6">
      <c r="A6" s="9" t="inlineStr">
        <is>
          <t>0</t>
        </is>
      </c>
      <c r="B6" s="10" t="n">
        <v>12669</v>
      </c>
      <c r="C6" s="13" t="n">
        <v>25.45242734897907</v>
      </c>
      <c r="D6" s="13" t="n">
        <v>27.93375127075567</v>
      </c>
    </row>
    <row r="7">
      <c r="A7" s="9" t="inlineStr">
        <is>
          <t>1</t>
        </is>
      </c>
      <c r="B7" s="10" t="n">
        <v>28187</v>
      </c>
      <c r="C7" s="13" t="n">
        <v>48.37629646453176</v>
      </c>
      <c r="D7" s="13" t="n">
        <v>54.32906888720666</v>
      </c>
    </row>
    <row r="8">
      <c r="A8" s="9" t="inlineStr">
        <is>
          <t>2</t>
        </is>
      </c>
      <c r="B8" s="10" t="n">
        <v>36972</v>
      </c>
      <c r="C8" s="13" t="n">
        <v>61.36024277422586</v>
      </c>
      <c r="D8" s="13" t="n">
        <v>67.99502047791626</v>
      </c>
    </row>
    <row r="9">
      <c r="A9" s="9" t="inlineStr">
        <is>
          <t>3</t>
        </is>
      </c>
      <c r="B9" s="10" t="n">
        <v>27068</v>
      </c>
      <c r="C9" s="13" t="n">
        <v>60.85110316775545</v>
      </c>
      <c r="D9" s="13" t="n">
        <v>64.21102802202317</v>
      </c>
    </row>
    <row r="10">
      <c r="A10" s="9" t="inlineStr">
        <is>
          <t>4</t>
        </is>
      </c>
      <c r="B10" s="10" t="n">
        <v>15250</v>
      </c>
      <c r="C10" s="13" t="n">
        <v>44.60972925379705</v>
      </c>
      <c r="D10" s="13" t="n">
        <v>45.00645729380687</v>
      </c>
    </row>
    <row r="11">
      <c r="A11" s="9" t="inlineStr">
        <is>
          <t>5</t>
        </is>
      </c>
      <c r="B11" s="10" t="n">
        <v>7095</v>
      </c>
      <c r="C11" s="13" t="n">
        <v>23.83442231075697</v>
      </c>
      <c r="D11" s="13" t="n">
        <v>23.58961287239127</v>
      </c>
    </row>
    <row r="12">
      <c r="A12" s="9" t="inlineStr">
        <is>
          <t>6</t>
        </is>
      </c>
      <c r="B12" s="10" t="n">
        <v>1416</v>
      </c>
      <c r="C12" s="13" t="n">
        <v>13.32513877874703</v>
      </c>
      <c r="D12" s="13" t="n">
        <v>13.42109436954798</v>
      </c>
    </row>
    <row r="13">
      <c r="A13" s="9" t="inlineStr">
        <is>
          <t>15</t>
        </is>
      </c>
      <c r="B13" s="10" t="n">
        <v>538</v>
      </c>
      <c r="C13" s="13" t="n">
        <v>2.285436893203884</v>
      </c>
      <c r="D13" s="13" t="n">
        <v>2.141472868217054</v>
      </c>
    </row>
    <row r="14">
      <c r="A14" s="9" t="inlineStr">
        <is>
          <t>16</t>
        </is>
      </c>
      <c r="B14" s="10" t="n">
        <v>2109</v>
      </c>
      <c r="C14" s="13" t="n">
        <v>5.554108216432866</v>
      </c>
      <c r="D14" s="13" t="n">
        <v>4.965948923385078</v>
      </c>
    </row>
    <row r="15">
      <c r="A15" s="9" t="inlineStr">
        <is>
          <t>17</t>
        </is>
      </c>
      <c r="B15" s="10" t="n">
        <v>3413</v>
      </c>
      <c r="C15" s="13" t="n">
        <v>8.070347003154573</v>
      </c>
      <c r="D15" s="13" t="n">
        <v>7.757728706624606</v>
      </c>
    </row>
    <row r="16">
      <c r="A16" s="9" t="inlineStr">
        <is>
          <t>18</t>
        </is>
      </c>
      <c r="B16" s="10" t="n">
        <v>5100</v>
      </c>
      <c r="C16" s="13" t="n">
        <v>13.94333547971668</v>
      </c>
      <c r="D16" s="13" t="n">
        <v>15.09572869714531</v>
      </c>
    </row>
    <row r="17">
      <c r="A17" s="9" t="inlineStr">
        <is>
          <t>19</t>
        </is>
      </c>
      <c r="B17" s="10" t="n">
        <v>13541</v>
      </c>
      <c r="C17" s="13" t="n">
        <v>31.43908894057262</v>
      </c>
      <c r="D17" s="13" t="n">
        <v>32.21053897978826</v>
      </c>
    </row>
    <row r="18">
      <c r="A18" s="9" t="inlineStr">
        <is>
          <t>20</t>
        </is>
      </c>
      <c r="B18" s="10" t="n">
        <v>15560</v>
      </c>
      <c r="C18" s="13" t="n">
        <v>36.35188272891482</v>
      </c>
      <c r="D18" s="13" t="n">
        <v>37.36145080600333</v>
      </c>
    </row>
    <row r="19">
      <c r="A19" s="9" t="inlineStr">
        <is>
          <t>21</t>
        </is>
      </c>
      <c r="B19" s="10" t="n">
        <v>11464</v>
      </c>
      <c r="C19" s="13" t="n">
        <v>28.69241692700937</v>
      </c>
      <c r="D19" s="13" t="n">
        <v>30.33080855898504</v>
      </c>
    </row>
    <row r="20">
      <c r="A20" s="9" t="inlineStr">
        <is>
          <t>22</t>
        </is>
      </c>
      <c r="B20" s="10" t="n">
        <v>8821</v>
      </c>
      <c r="C20" s="13" t="n">
        <v>21.9379012345679</v>
      </c>
      <c r="D20" s="13" t="n">
        <v>22.75503148536857</v>
      </c>
    </row>
    <row r="21">
      <c r="A21" s="9" t="inlineStr">
        <is>
          <t>23</t>
        </is>
      </c>
      <c r="B21" s="10" t="n">
        <v>8163</v>
      </c>
      <c r="C21" s="13" t="n">
        <v>19.314493712773</v>
      </c>
      <c r="D21" s="13" t="n">
        <v>20.2775277924828</v>
      </c>
    </row>
    <row r="22" ht="31" customHeight="1">
      <c r="A22" s="11" t="inlineStr">
        <is>
          <t>Order volume and busy partners move together almost perfectly: correlation 0.96 across hours of the day and 0.92 across 475 individual hourly slots. On-shift partners also follow demand (r = 0.95).</t>
        </is>
      </c>
    </row>
    <row r="23" ht="31" customHeight="1">
      <c r="A23" s="14" t="inlineStr">
        <is>
          <t>Business insight: Partner supply follows demand, which is good - but it follows it rather than leading it. In peak hours the busy count is almost as high as the on-shift count (next table), i.e. little spare capacity.</t>
        </is>
      </c>
    </row>
    <row r="25">
      <c r="A25" s="7" t="inlineStr">
        <is>
          <t>Medium Q - On-shift partners and delivery time during peak hours</t>
        </is>
      </c>
      <c r="B25" s="8" t="n"/>
      <c r="C25" s="8" t="n"/>
      <c r="D25" s="8" t="n"/>
      <c r="E25" s="8" t="n"/>
      <c r="F25" s="8" t="n"/>
    </row>
    <row r="26" ht="30" customHeight="1">
      <c r="A26" s="4" t="inlineStr">
        <is>
          <t>On-shift partners (quartile, peak hours only)</t>
        </is>
      </c>
      <c r="B26" s="4" t="inlineStr">
        <is>
          <t>Orders</t>
        </is>
      </c>
      <c r="C26" s="4" t="inlineStr">
        <is>
          <t>Avg on-shift partners</t>
        </is>
      </c>
      <c r="D26" s="4" t="inlineStr">
        <is>
          <t>Avg delivery (min)</t>
        </is>
      </c>
    </row>
    <row r="27">
      <c r="A27" s="9" t="inlineStr">
        <is>
          <t>Lowest 25%</t>
        </is>
      </c>
      <c r="B27" s="10" t="n">
        <v>21718</v>
      </c>
      <c r="C27" s="13" t="n">
        <v>16.1332535224238</v>
      </c>
      <c r="D27" s="13" t="n">
        <v>55.62130874543389</v>
      </c>
    </row>
    <row r="28">
      <c r="A28" s="9" t="inlineStr">
        <is>
          <t>25-50%</t>
        </is>
      </c>
      <c r="B28" s="10" t="n">
        <v>20778</v>
      </c>
      <c r="C28" s="13" t="n">
        <v>46.50110694003273</v>
      </c>
      <c r="D28" s="13" t="n">
        <v>50.72877963872044</v>
      </c>
    </row>
    <row r="29">
      <c r="A29" s="9" t="inlineStr">
        <is>
          <t>50-75%</t>
        </is>
      </c>
      <c r="B29" s="10" t="n">
        <v>21080</v>
      </c>
      <c r="C29" s="13" t="n">
        <v>75.66271347248576</v>
      </c>
      <c r="D29" s="13" t="n">
        <v>50.84830012650222</v>
      </c>
    </row>
    <row r="30">
      <c r="A30" s="9" t="inlineStr">
        <is>
          <t>Highest 25%</t>
        </is>
      </c>
      <c r="B30" s="10" t="n">
        <v>21121</v>
      </c>
      <c r="C30" s="13" t="n">
        <v>113.3598314473746</v>
      </c>
      <c r="D30" s="13" t="n">
        <v>52.40126809021037</v>
      </c>
    </row>
    <row r="31" ht="58" customHeight="1">
      <c r="A31" s="11" t="inlineStr">
        <is>
          <t>Peak hours = [1, 2, 3]. The overall correlation between on-shift partners and delivery time in peak hours is -0.05 (n = 84,697) - essentially none. The only visible pattern is a penalty when on-shift supply is lowest: 55.6 min vs 50.7-52.4 min in the other groups. More partners helps up to a point, then stops mattering (the relationship is a floor effect, not a straight line).</t>
        </is>
      </c>
    </row>
    <row r="32" ht="31" customHeight="1">
      <c r="A32" s="14" t="inlineStr">
        <is>
          <t>Business insight: Make sure peak slots never fall into the "lowest 25%" supply band; beyond that, adding more partners gives diminishing returns. The busy/on-shift ratio below is a better trigger for action.</t>
        </is>
      </c>
    </row>
    <row r="34">
      <c r="A34" s="7" t="inlineStr">
        <is>
          <t>Basic/Medium Q - Busy vs on-shift partners (busy ratio) and delivery time, by market</t>
        </is>
      </c>
      <c r="B34" s="8" t="n"/>
      <c r="C34" s="8" t="n"/>
      <c r="D34" s="8" t="n"/>
      <c r="E34" s="8" t="n"/>
      <c r="F34" s="8" t="n"/>
    </row>
    <row r="35" ht="30" customHeight="1">
      <c r="A35" s="4" t="inlineStr">
        <is>
          <t>Busy / on-shift ratio</t>
        </is>
      </c>
      <c r="B35" s="4" t="inlineStr">
        <is>
          <t>Orders</t>
        </is>
      </c>
      <c r="C35" s="4" t="inlineStr">
        <is>
          <t>Avg delivery (min)</t>
        </is>
      </c>
    </row>
    <row r="36">
      <c r="A36" s="9" t="inlineStr">
        <is>
          <t>&lt;=50%</t>
        </is>
      </c>
      <c r="B36" s="10" t="n">
        <v>7343</v>
      </c>
      <c r="C36" s="13" t="n">
        <v>40.20062417722094</v>
      </c>
    </row>
    <row r="37">
      <c r="A37" s="9" t="inlineStr">
        <is>
          <t>50-70%</t>
        </is>
      </c>
      <c r="B37" s="10" t="n">
        <v>15640</v>
      </c>
      <c r="C37" s="13" t="n">
        <v>41.72424765558397</v>
      </c>
    </row>
    <row r="38">
      <c r="A38" s="9" t="inlineStr">
        <is>
          <t>70-80%</t>
        </is>
      </c>
      <c r="B38" s="10" t="n">
        <v>16829</v>
      </c>
      <c r="C38" s="13" t="n">
        <v>43.05839523045536</v>
      </c>
    </row>
    <row r="39">
      <c r="A39" s="9" t="inlineStr">
        <is>
          <t>80-90%</t>
        </is>
      </c>
      <c r="B39" s="10" t="n">
        <v>23980</v>
      </c>
      <c r="C39" s="13" t="n">
        <v>44.9197449263275</v>
      </c>
    </row>
    <row r="40">
      <c r="A40" s="9" t="inlineStr">
        <is>
          <t>90-95%</t>
        </is>
      </c>
      <c r="B40" s="10" t="n">
        <v>18665</v>
      </c>
      <c r="C40" s="13" t="n">
        <v>47.62062416287169</v>
      </c>
    </row>
    <row r="41">
      <c r="A41" s="9" t="inlineStr">
        <is>
          <t>95-100%</t>
        </is>
      </c>
      <c r="B41" s="10" t="n">
        <v>54711</v>
      </c>
      <c r="C41" s="13" t="n">
        <v>51.50348315085937</v>
      </c>
    </row>
    <row r="42">
      <c r="A42" s="9" t="inlineStr">
        <is>
          <t>&gt;100%</t>
        </is>
      </c>
      <c r="B42" s="10" t="n">
        <v>35256</v>
      </c>
      <c r="C42" s="13" t="n">
        <v>50.02023958096967</v>
      </c>
    </row>
    <row r="44" ht="30" customHeight="1">
      <c r="A44" s="4" t="inlineStr">
        <is>
          <t>Market</t>
        </is>
      </c>
      <c r="B44" s="4" t="inlineStr">
        <is>
          <t>Orders (with partner data)</t>
        </is>
      </c>
      <c r="C44" s="4" t="inlineStr">
        <is>
          <t>Avg busy ratio</t>
        </is>
      </c>
      <c r="D44" s="4" t="inlineStr">
        <is>
          <t>Avg delivery (min)</t>
        </is>
      </c>
      <c r="E44" s="4" t="inlineStr">
        <is>
          <t>Correlation: ratio vs delivery (within market)</t>
        </is>
      </c>
    </row>
    <row r="45">
      <c r="A45" s="9" t="inlineStr">
        <is>
          <t>1</t>
        </is>
      </c>
      <c r="B45" s="10" t="n">
        <v>35285</v>
      </c>
      <c r="C45" s="17" t="n">
        <v>0.9537750393437757</v>
      </c>
      <c r="D45" s="13" t="n">
        <v>50.99543857163101</v>
      </c>
      <c r="E45" s="17" t="n">
        <v>0.1770785426802071</v>
      </c>
    </row>
    <row r="46">
      <c r="A46" s="9" t="inlineStr">
        <is>
          <t>2</t>
        </is>
      </c>
      <c r="B46" s="10" t="n">
        <v>53256</v>
      </c>
      <c r="C46" s="17" t="n">
        <v>0.9348968803594661</v>
      </c>
      <c r="D46" s="13" t="n">
        <v>46.18051299384107</v>
      </c>
      <c r="E46" s="17" t="n">
        <v>0.0690743011131125</v>
      </c>
    </row>
    <row r="47">
      <c r="A47" s="9" t="inlineStr">
        <is>
          <t>3</t>
        </is>
      </c>
      <c r="B47" s="10" t="n">
        <v>20136</v>
      </c>
      <c r="C47" s="17" t="n">
        <v>0.8859673851152765</v>
      </c>
      <c r="D47" s="13" t="n">
        <v>46.95097338100913</v>
      </c>
      <c r="E47" s="17" t="n">
        <v>0.2065656616066978</v>
      </c>
    </row>
    <row r="48">
      <c r="A48" s="9" t="inlineStr">
        <is>
          <t>4</t>
        </is>
      </c>
      <c r="B48" s="10" t="n">
        <v>44995</v>
      </c>
      <c r="C48" s="17" t="n">
        <v>0.9066874588985097</v>
      </c>
      <c r="D48" s="13" t="n">
        <v>47.56495499499945</v>
      </c>
      <c r="E48" s="17" t="n">
        <v>0.1708699445790643</v>
      </c>
    </row>
    <row r="49">
      <c r="A49" s="9" t="inlineStr">
        <is>
          <t>5</t>
        </is>
      </c>
      <c r="B49" s="10" t="n">
        <v>17250</v>
      </c>
      <c r="C49" s="17" t="n">
        <v>0.8098213554581271</v>
      </c>
      <c r="D49" s="13" t="n">
        <v>46.5595497584541</v>
      </c>
      <c r="E49" s="17" t="n">
        <v>0.1793774740448317</v>
      </c>
    </row>
    <row r="50">
      <c r="A50" s="9" t="inlineStr">
        <is>
          <t>6</t>
        </is>
      </c>
      <c r="B50" s="10" t="n">
        <v>629</v>
      </c>
      <c r="C50" s="17" t="n">
        <v>0.9212396991466236</v>
      </c>
      <c r="D50" s="13" t="n">
        <v>47.85535241123476</v>
      </c>
      <c r="E50" s="17" t="n">
        <v>0.190359099269473</v>
      </c>
    </row>
    <row r="51" ht="85" customHeight="1">
      <c r="A51" s="11" t="inlineStr">
        <is>
          <t>Across all orders the busy ratio correlates with delivery time at r = 0.16 (Spearman 0.19, n = 172,424): weak but consistent. When 95%+ of partners are busy delivery takes about 52 min vs 40 min when half or fewer are busy (an 11-minute difference). Market 1 runs the highest ratio (0.95) and has the slowest deliveries; market 5 has the lowest ratio (0.81). Across the six markets the correlation between average ratio and average delivery time is 0.54, but with only six points this is indicative, not conclusive. Market 6 has partner data for only 629 orders, so its row is unreliable.</t>
        </is>
      </c>
    </row>
    <row r="52" ht="31" customHeight="1">
      <c r="A52" s="14" t="inlineStr">
        <is>
          <t>Business insight: Markets 1 (and 2) run close to full utilisation: recruit or schedule more partners there. Use a live alert when the busy ratio passes 90-95%.</t>
        </is>
      </c>
    </row>
  </sheetData>
  <mergeCells count="6">
    <mergeCell ref="A51:F51"/>
    <mergeCell ref="A52:F52"/>
    <mergeCell ref="A23:F23"/>
    <mergeCell ref="A32:F32"/>
    <mergeCell ref="A31:F31"/>
    <mergeCell ref="A22:F2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ED7D31"/>
    <outlinePr summaryBelow="1" summaryRight="1"/>
    <pageSetUpPr/>
  </sheetPr>
  <dimension ref="A1:F34"/>
  <sheetViews>
    <sheetView showGridLines="0" workbookViewId="0">
      <selection activeCell="A1" sqref="A1"/>
    </sheetView>
  </sheetViews>
  <sheetFormatPr baseColWidth="8" defaultRowHeight="15"/>
  <cols>
    <col width="28" customWidth="1" min="1" max="1"/>
    <col width="16" customWidth="1" min="2" max="2"/>
    <col width="18" customWidth="1" min="3" max="3"/>
    <col width="18" customWidth="1" min="4" max="4"/>
    <col width="16" customWidth="1" min="5" max="5"/>
    <col width="16" customWidth="1" min="6" max="6"/>
  </cols>
  <sheetData>
    <row r="1" ht="26" customHeight="1">
      <c r="A1" s="1" t="inlineStr">
        <is>
          <t>Order size, price range and what drives delivery time</t>
        </is>
      </c>
      <c r="B1" s="2" t="n"/>
      <c r="C1" s="2" t="n"/>
      <c r="D1" s="2" t="n"/>
      <c r="E1" s="2" t="n"/>
      <c r="F1" s="2" t="n"/>
    </row>
    <row r="4">
      <c r="A4" s="7" t="inlineStr">
        <is>
          <t>Basic Q5 - Correlation between total items and subtotal</t>
        </is>
      </c>
      <c r="B4" s="8" t="n"/>
      <c r="C4" s="8" t="n"/>
      <c r="D4" s="8" t="n"/>
      <c r="E4" s="8" t="n"/>
      <c r="F4" s="8" t="n"/>
    </row>
    <row r="5" ht="30" customHeight="1">
      <c r="A5" s="4" t="inlineStr">
        <is>
          <t>Measure</t>
        </is>
      </c>
      <c r="B5" s="4" t="inlineStr">
        <is>
          <t>Value</t>
        </is>
      </c>
    </row>
    <row r="6">
      <c r="A6" s="9" t="inlineStr">
        <is>
          <t>Pearson correlation</t>
        </is>
      </c>
      <c r="B6" s="17" t="n">
        <v>0.5580610760448892</v>
      </c>
    </row>
    <row r="7">
      <c r="A7" s="9" t="inlineStr">
        <is>
          <t>Spearman (rank) correlation</t>
        </is>
      </c>
      <c r="B7" s="17" t="n">
        <v>0.6642983011830293</v>
      </c>
    </row>
    <row r="8" ht="31" customHeight="1">
      <c r="A8" s="11" t="inlineStr">
        <is>
          <t>Moderate positive relationship (r = 0.56, rank correlation 0.66): more items generally means a higher subtotal, but item prices vary a lot so items explain only about 31% of the variation in subtotal.</t>
        </is>
      </c>
    </row>
    <row r="9" ht="31" customHeight="1">
      <c r="A9" s="14" t="inlineStr">
        <is>
          <t>Business insight: Item count is a useful but imperfect lever: bundles and "add one more item" prompts raise order value, and pricing/upsell strategy matters as much as basket size.</t>
        </is>
      </c>
    </row>
    <row r="11">
      <c r="A11" s="7" t="inlineStr">
        <is>
          <t>Medium Q - Role of item price range in the order total</t>
        </is>
      </c>
      <c r="B11" s="8" t="n"/>
      <c r="C11" s="8" t="n"/>
      <c r="D11" s="8" t="n"/>
      <c r="E11" s="8" t="n"/>
      <c r="F11" s="8" t="n"/>
    </row>
    <row r="12" ht="30" customHeight="1">
      <c r="A12" s="4" t="inlineStr">
        <is>
          <t>Price range group (max - min item price)</t>
        </is>
      </c>
      <c r="B12" s="4" t="inlineStr">
        <is>
          <t>Orders</t>
        </is>
      </c>
      <c r="C12" s="4" t="inlineStr">
        <is>
          <t>Avg price range</t>
        </is>
      </c>
      <c r="D12" s="4" t="inlineStr">
        <is>
          <t>Avg subtotal</t>
        </is>
      </c>
    </row>
    <row r="13">
      <c r="A13" s="9" t="inlineStr">
        <is>
          <t>Narrow</t>
        </is>
      </c>
      <c r="B13" s="10" t="n">
        <v>98322</v>
      </c>
      <c r="C13" s="10" t="n">
        <v>87.02099224995423</v>
      </c>
      <c r="D13" s="10" t="n">
        <v>1956.923099611481</v>
      </c>
    </row>
    <row r="14">
      <c r="A14" s="9" t="inlineStr">
        <is>
          <t>Medium</t>
        </is>
      </c>
      <c r="B14" s="10" t="n">
        <v>49220</v>
      </c>
      <c r="C14" s="10" t="n">
        <v>558.6892523364486</v>
      </c>
      <c r="D14" s="10" t="n">
        <v>2821.259345794393</v>
      </c>
    </row>
    <row r="15">
      <c r="A15" s="9" t="inlineStr">
        <is>
          <t>Wide</t>
        </is>
      </c>
      <c r="B15" s="10" t="n">
        <v>49063</v>
      </c>
      <c r="C15" s="10" t="n">
        <v>1170.435052891181</v>
      </c>
      <c r="D15" s="10" t="n">
        <v>4010.095835966003</v>
      </c>
    </row>
    <row r="16" ht="44.5" customHeight="1">
      <c r="A16" s="11" t="inlineStr">
        <is>
          <t>Correlation between price range and subtotal is r = 0.51 (Spearman 0.56, n = 196,605). Orders with a wide price range have an average subtotal of 4,010, about 2.0x the 1,957 of narrow-range orders. Caution: part of this is mechanical (a single expensive item raises both the range and the total).</t>
        </is>
      </c>
    </row>
    <row r="17" ht="31" customHeight="1">
      <c r="A17" s="14" t="inlineStr">
        <is>
          <t>Business insight: Menus that mix low-priced add-ons with premium items are associated with bigger baskets: keep premium anchors on the menu and place cheap add-ons next to them.</t>
        </is>
      </c>
    </row>
    <row r="19">
      <c r="A19" s="7" t="inlineStr">
        <is>
          <t>Medium Q - Impact of total items and distinct items on delivery time (regression)</t>
        </is>
      </c>
      <c r="B19" s="8" t="n"/>
      <c r="C19" s="8" t="n"/>
      <c r="D19" s="8" t="n"/>
      <c r="E19" s="8" t="n"/>
      <c r="F19" s="8" t="n"/>
    </row>
    <row r="20" ht="30" customHeight="1">
      <c r="A20" s="4" t="inlineStr">
        <is>
          <t>Term</t>
        </is>
      </c>
      <c r="B20" s="4" t="inlineStr">
        <is>
          <t>Coefficient (min)</t>
        </is>
      </c>
      <c r="C20" s="4" t="inlineStr">
        <is>
          <t>Std error</t>
        </is>
      </c>
      <c r="D20" s="4" t="inlineStr">
        <is>
          <t>t</t>
        </is>
      </c>
      <c r="E20" s="4" t="inlineStr">
        <is>
          <t>p-value</t>
        </is>
      </c>
    </row>
    <row r="21">
      <c r="A21" s="9" t="inlineStr">
        <is>
          <t>Intercept</t>
        </is>
      </c>
      <c r="B21" s="18" t="n">
        <v>42.80909209315686</v>
      </c>
      <c r="C21" s="18" t="n">
        <v>0.07703067449923873</v>
      </c>
      <c r="D21" s="13" t="n">
        <v>555.7408444291882</v>
      </c>
      <c r="E21" s="19" t="n">
        <v>0</v>
      </c>
    </row>
    <row r="22">
      <c r="A22" s="9" t="inlineStr">
        <is>
          <t>total_items</t>
        </is>
      </c>
      <c r="B22" s="18" t="n">
        <v>-0.02918799566138985</v>
      </c>
      <c r="C22" s="18" t="n">
        <v>0.02329562211155963</v>
      </c>
      <c r="D22" s="13" t="n">
        <v>-1.252939093947027</v>
      </c>
      <c r="E22" s="19" t="n">
        <v>0.2102293580997663</v>
      </c>
    </row>
    <row r="23">
      <c r="A23" s="9" t="inlineStr">
        <is>
          <t>num_distinct_items</t>
        </is>
      </c>
      <c r="B23" s="18" t="n">
        <v>1.803854517264893</v>
      </c>
      <c r="C23" s="18" t="n">
        <v>0.0381068894975115</v>
      </c>
      <c r="D23" s="13" t="n">
        <v>47.33670318021341</v>
      </c>
      <c r="E23" s="19" t="n">
        <v>0</v>
      </c>
    </row>
    <row r="24" ht="85" customHeight="1">
      <c r="A24" s="11" t="inlineStr">
        <is>
          <t>Model: delivery_min = 42.8 + (-0.029 x total_items) + (1.80 x num_distinct_items). n = 197,283 orders (excluding deliveries over 180 min). R-squared = 0.026.
Each extra DISTINCT item adds about 1.8 minutes (p &lt; 0.001). Once distinct items are accounted for, total item count has no significant effect (p = 0.21) - the two measures are strongly related (r = 0.76). Order complexity explains only 2.6% of the variation in delivery time, so most delay comes from elsewhere (partner availability, restaurant prep, distance).</t>
        </is>
      </c>
    </row>
    <row r="25" ht="30" customHeight="1">
      <c r="A25" s="4" t="inlineStr">
        <is>
          <t>Distinct items (8 = 8 or more)</t>
        </is>
      </c>
      <c r="B25" s="4" t="inlineStr">
        <is>
          <t>Orders</t>
        </is>
      </c>
      <c r="C25" s="4" t="inlineStr">
        <is>
          <t>Avg delivery (min)</t>
        </is>
      </c>
    </row>
    <row r="26">
      <c r="A26" s="9" t="n">
        <v>1</v>
      </c>
      <c r="B26" s="10" t="n">
        <v>49798</v>
      </c>
      <c r="C26" s="13" t="n">
        <v>44.75410592125521</v>
      </c>
    </row>
    <row r="27">
      <c r="A27" s="9" t="n">
        <v>2</v>
      </c>
      <c r="B27" s="10" t="n">
        <v>59138</v>
      </c>
      <c r="C27" s="13" t="n">
        <v>46.33549043480222</v>
      </c>
    </row>
    <row r="28">
      <c r="A28" s="9" t="n">
        <v>3</v>
      </c>
      <c r="B28" s="10" t="n">
        <v>41806</v>
      </c>
      <c r="C28" s="13" t="n">
        <v>47.83371724951761</v>
      </c>
    </row>
    <row r="29">
      <c r="A29" s="9" t="n">
        <v>4</v>
      </c>
      <c r="B29" s="10" t="n">
        <v>23171</v>
      </c>
      <c r="C29" s="13" t="n">
        <v>50.01750248155022</v>
      </c>
    </row>
    <row r="30">
      <c r="A30" s="9" t="n">
        <v>5</v>
      </c>
      <c r="B30" s="10" t="n">
        <v>11764</v>
      </c>
      <c r="C30" s="13" t="n">
        <v>51.45706675733877</v>
      </c>
    </row>
    <row r="31">
      <c r="A31" s="9" t="n">
        <v>6</v>
      </c>
      <c r="B31" s="10" t="n">
        <v>5690</v>
      </c>
      <c r="C31" s="13" t="n">
        <v>53.65460164030463</v>
      </c>
    </row>
    <row r="32">
      <c r="A32" s="9" t="n">
        <v>7</v>
      </c>
      <c r="B32" s="10" t="n">
        <v>2916</v>
      </c>
      <c r="C32" s="13" t="n">
        <v>55.18704846822131</v>
      </c>
    </row>
    <row r="33">
      <c r="A33" s="9" t="n">
        <v>8</v>
      </c>
      <c r="B33" s="10" t="n">
        <v>3000</v>
      </c>
      <c r="C33" s="13" t="n">
        <v>59.48586111111111</v>
      </c>
    </row>
    <row r="34" ht="31" customHeight="1">
      <c r="A34" s="14" t="inlineStr">
        <is>
          <t>Business insight: Orders with many different dishes take longer (about 45 min with one item, about 60 with 8+). Quote longer ETAs for multi-dish orders, since a flat estimate will be wrong for them.</t>
        </is>
      </c>
    </row>
  </sheetData>
  <mergeCells count="6">
    <mergeCell ref="A24:F24"/>
    <mergeCell ref="A16:F16"/>
    <mergeCell ref="A9:F9"/>
    <mergeCell ref="A8:F8"/>
    <mergeCell ref="A17:F17"/>
    <mergeCell ref="A34:F34"/>
  </mergeCells>
  <pageMargins left="0.75" right="0.75" top="1" bottom="1" header="0.5" footer="0.5"/>
</worksheet>
</file>

<file path=xl/worksheets/sheet9.xml><?xml version="1.0" encoding="utf-8"?>
<worksheet xmlns="http://schemas.openxmlformats.org/spreadsheetml/2006/main">
  <sheetPr>
    <tabColor rgb="0000B0F0"/>
    <outlinePr summaryBelow="1" summaryRight="1"/>
    <pageSetUpPr/>
  </sheetPr>
  <dimension ref="A1:G24"/>
  <sheetViews>
    <sheetView showGridLines="0" workbookViewId="0">
      <selection activeCell="A1" sqref="A1"/>
    </sheetView>
  </sheetViews>
  <sheetFormatPr baseColWidth="8" defaultRowHeight="15"/>
  <cols>
    <col width="40" customWidth="1" min="1" max="1"/>
    <col width="14" customWidth="1" min="2" max="2"/>
    <col width="16" customWidth="1" min="3" max="3"/>
    <col width="16" customWidth="1" min="4" max="4"/>
    <col width="16" customWidth="1" min="5" max="5"/>
    <col width="16" customWidth="1" min="6" max="6"/>
  </cols>
  <sheetData>
    <row r="1" ht="26" customHeight="1">
      <c r="A1" s="1" t="inlineStr">
        <is>
          <t>Order protocols and slowest stores</t>
        </is>
      </c>
      <c r="B1" s="2" t="n"/>
      <c r="C1" s="2" t="n"/>
      <c r="D1" s="2" t="n"/>
      <c r="E1" s="2" t="n"/>
      <c r="F1" s="2" t="n"/>
    </row>
    <row r="4">
      <c r="A4" s="7" t="inlineStr">
        <is>
          <t>Medium Q - Efficiency of order protocols</t>
        </is>
      </c>
      <c r="B4" s="8" t="n"/>
      <c r="C4" s="8" t="n"/>
      <c r="D4" s="8" t="n"/>
      <c r="E4" s="8" t="n"/>
      <c r="F4" s="8" t="n"/>
    </row>
    <row r="5" ht="30" customHeight="1">
      <c r="A5" s="4" t="inlineStr">
        <is>
          <t>Order protocol</t>
        </is>
      </c>
      <c r="B5" s="4" t="inlineStr">
        <is>
          <t>Orders</t>
        </is>
      </c>
      <c r="C5" s="4" t="inlineStr">
        <is>
          <t>Avg delivery (min)</t>
        </is>
      </c>
      <c r="D5" s="4" t="inlineStr">
        <is>
          <t>Median (min)</t>
        </is>
      </c>
      <c r="E5" s="4" t="inlineStr">
        <is>
          <t>Std dev (min)</t>
        </is>
      </c>
      <c r="F5" s="4" t="inlineStr">
        <is>
          <t>Avg subtotal</t>
        </is>
      </c>
    </row>
    <row r="6">
      <c r="A6" s="9" t="inlineStr">
        <is>
          <t>1</t>
        </is>
      </c>
      <c r="B6" s="10" t="n">
        <v>54722</v>
      </c>
      <c r="C6" s="13" t="n">
        <v>49.92720813079443</v>
      </c>
      <c r="D6" s="13" t="n">
        <v>46.5</v>
      </c>
      <c r="E6" s="13" t="n">
        <v>19.65169686921688</v>
      </c>
      <c r="F6" s="10" t="n">
        <v>2794.937940864735</v>
      </c>
    </row>
    <row r="7">
      <c r="A7" s="9" t="inlineStr">
        <is>
          <t>2</t>
        </is>
      </c>
      <c r="B7" s="10" t="n">
        <v>24051</v>
      </c>
      <c r="C7" s="13" t="n">
        <v>47.36454825163195</v>
      </c>
      <c r="D7" s="13" t="n">
        <v>44.11666666666667</v>
      </c>
      <c r="E7" s="13" t="n">
        <v>19.36955568451619</v>
      </c>
      <c r="F7" s="10" t="n">
        <v>2679.387509874849</v>
      </c>
    </row>
    <row r="8">
      <c r="A8" s="9" t="inlineStr">
        <is>
          <t>3</t>
        </is>
      </c>
      <c r="B8" s="10" t="n">
        <v>53196</v>
      </c>
      <c r="C8" s="13" t="n">
        <v>46.85891295084843</v>
      </c>
      <c r="D8" s="13" t="n">
        <v>43.76666666666667</v>
      </c>
      <c r="E8" s="13" t="n">
        <v>18.29150756850833</v>
      </c>
      <c r="F8" s="10" t="n">
        <v>2880.954244680051</v>
      </c>
    </row>
    <row r="9">
      <c r="A9" s="9" t="inlineStr">
        <is>
          <t>4</t>
        </is>
      </c>
      <c r="B9" s="10" t="n">
        <v>19353</v>
      </c>
      <c r="C9" s="13" t="n">
        <v>48.43099347215764</v>
      </c>
      <c r="D9" s="13" t="n">
        <v>44.31666666666667</v>
      </c>
      <c r="E9" s="13" t="n">
        <v>22.28485879462881</v>
      </c>
      <c r="F9" s="10" t="n">
        <v>1797.455743295613</v>
      </c>
    </row>
    <row r="10">
      <c r="A10" s="9" t="inlineStr">
        <is>
          <t>5</t>
        </is>
      </c>
      <c r="B10" s="10" t="n">
        <v>44288</v>
      </c>
      <c r="C10" s="13" t="n">
        <v>45.57196682321773</v>
      </c>
      <c r="D10" s="13" t="n">
        <v>42.43333333333333</v>
      </c>
      <c r="E10" s="13" t="n">
        <v>18.30334286318786</v>
      </c>
      <c r="F10" s="10" t="n">
        <v>2702.906204841041</v>
      </c>
    </row>
    <row r="11">
      <c r="A11" s="9" t="inlineStr">
        <is>
          <t>6</t>
        </is>
      </c>
      <c r="B11" s="10" t="n">
        <v>794</v>
      </c>
      <c r="C11" s="13" t="n">
        <v>61.08738455079764</v>
      </c>
      <c r="D11" s="13" t="n">
        <v>56.77500000000001</v>
      </c>
      <c r="E11" s="13" t="n">
        <v>33.9424050629417</v>
      </c>
      <c r="F11" s="10" t="n">
        <v>2117.515113350126</v>
      </c>
    </row>
    <row r="12">
      <c r="A12" s="9" t="inlineStr">
        <is>
          <t>7</t>
        </is>
      </c>
      <c r="B12" s="10" t="n">
        <v>19</v>
      </c>
      <c r="C12" s="13" t="n">
        <v>41.37017543859649</v>
      </c>
      <c r="D12" s="13" t="n">
        <v>36.16666666666666</v>
      </c>
      <c r="E12" s="13" t="n">
        <v>13.79714765090396</v>
      </c>
      <c r="F12" s="10" t="n">
        <v>3013.947368421052</v>
      </c>
    </row>
    <row r="13" ht="58" customHeight="1">
      <c r="A13" s="11" t="inlineStr">
        <is>
          <t>Among protocols with real volume, protocol 5 is fastest (45.6 min) and protocol 1 is slowest of the large ones (49.9 min). Protocol 6 is the slowest overall (61.1 min) and the most erratic (std 33.9) but has only 794 orders. Protocol 7 has only 19 orders, so its speed is not reliable. 995 orders have no protocol. Protocol meanings are not given in the data dictionary beyond "how the order was placed".</t>
        </is>
      </c>
    </row>
    <row r="14" ht="31" customHeight="1">
      <c r="A14" s="14" t="inlineStr">
        <is>
          <t>Business insight: Protocol 5 delivers fastest at scale and protocol 1 is slowest: examine what differs (technology, call-to-restaurant steps) and push volume toward the faster channel. Review protocol 6 for process problems.</t>
        </is>
      </c>
    </row>
    <row r="16">
      <c r="A16" s="7" t="inlineStr">
        <is>
          <t>Basic Q10 - Top 5 stores with the longest average delivery time</t>
        </is>
      </c>
      <c r="B16" s="8" t="n"/>
      <c r="C16" s="8" t="n"/>
      <c r="D16" s="8" t="n"/>
      <c r="E16" s="8" t="n"/>
      <c r="F16" s="8" t="n"/>
    </row>
    <row r="17" ht="30" customHeight="1">
      <c r="A17" s="4" t="inlineStr">
        <is>
          <t>Rank</t>
        </is>
      </c>
      <c r="B17" s="4" t="inlineStr">
        <is>
          <t>Store ID</t>
        </is>
      </c>
      <c r="C17" s="4" t="inlineStr">
        <is>
          <t>Orders</t>
        </is>
      </c>
      <c r="D17" s="4" t="inlineStr">
        <is>
          <t>Avg delivery (min)</t>
        </is>
      </c>
      <c r="E17" s="4" t="inlineStr">
        <is>
          <t>Median (min)</t>
        </is>
      </c>
      <c r="F17" s="4" t="inlineStr">
        <is>
          <t>Category</t>
        </is>
      </c>
      <c r="G17" s="4" t="inlineStr">
        <is>
          <t>Main market</t>
        </is>
      </c>
    </row>
    <row r="18">
      <c r="A18" s="9" t="n">
        <v>1</v>
      </c>
      <c r="B18" s="9" t="inlineStr">
        <is>
          <t>2d2c8394e31101a261abf1784302bf75</t>
        </is>
      </c>
      <c r="C18" s="10" t="n">
        <v>43</v>
      </c>
      <c r="D18" s="13" t="n">
        <v>84.04806201550387</v>
      </c>
      <c r="E18" s="13" t="n">
        <v>79.08333333333333</v>
      </c>
      <c r="F18" s="9" t="inlineStr">
        <is>
          <t>japanese</t>
        </is>
      </c>
      <c r="G18" s="9" t="inlineStr">
        <is>
          <t>1</t>
        </is>
      </c>
    </row>
    <row r="19">
      <c r="A19" s="9" t="n">
        <v>2</v>
      </c>
      <c r="B19" s="9" t="inlineStr">
        <is>
          <t>d0aa518d4d3bfc721aa0b8ab4ef32269</t>
        </is>
      </c>
      <c r="C19" s="10" t="n">
        <v>47</v>
      </c>
      <c r="D19" s="13" t="n">
        <v>82.25602836879433</v>
      </c>
      <c r="E19" s="13" t="n">
        <v>74.91666666666667</v>
      </c>
      <c r="F19" s="9" t="inlineStr">
        <is>
          <t>dessert</t>
        </is>
      </c>
      <c r="G19" s="9" t="inlineStr">
        <is>
          <t>1</t>
        </is>
      </c>
    </row>
    <row r="20">
      <c r="A20" s="9" t="n">
        <v>3</v>
      </c>
      <c r="B20" s="9" t="inlineStr">
        <is>
          <t>253614bbac999b38b5b60cae531c4969</t>
        </is>
      </c>
      <c r="C20" s="10" t="n">
        <v>49</v>
      </c>
      <c r="D20" s="13" t="n">
        <v>81.9156462585034</v>
      </c>
      <c r="E20" s="13" t="n">
        <v>78.81666666666666</v>
      </c>
      <c r="F20" s="9" t="inlineStr">
        <is>
          <t>american</t>
        </is>
      </c>
      <c r="G20" s="9" t="inlineStr">
        <is>
          <t>1</t>
        </is>
      </c>
    </row>
    <row r="21">
      <c r="A21" s="9" t="n">
        <v>4</v>
      </c>
      <c r="B21" s="9" t="inlineStr">
        <is>
          <t>50abc3e730e36b387ca8e02c26dc0a22</t>
        </is>
      </c>
      <c r="C21" s="10" t="n">
        <v>52</v>
      </c>
      <c r="D21" s="13" t="n">
        <v>80.13749999999999</v>
      </c>
      <c r="E21" s="13" t="n">
        <v>76.7</v>
      </c>
      <c r="F21" s="9" t="inlineStr">
        <is>
          <t>fast</t>
        </is>
      </c>
      <c r="G21" s="9" t="inlineStr">
        <is>
          <t>1</t>
        </is>
      </c>
    </row>
    <row r="22">
      <c r="A22" s="9" t="n">
        <v>5</v>
      </c>
      <c r="B22" s="9" t="inlineStr">
        <is>
          <t>0a7d7a81e8e3a20e4c34748e98ef45f6</t>
        </is>
      </c>
      <c r="C22" s="10" t="n">
        <v>99</v>
      </c>
      <c r="D22" s="13" t="n">
        <v>79.91582491582491</v>
      </c>
      <c r="E22" s="13" t="n">
        <v>75.66666666666667</v>
      </c>
      <c r="F22" s="9" t="inlineStr">
        <is>
          <t>pizza</t>
        </is>
      </c>
      <c r="G22" s="9" t="inlineStr">
        <is>
          <t>5</t>
        </is>
      </c>
    </row>
    <row r="23" ht="44.5" customHeight="1">
      <c r="A23" s="11" t="inlineStr">
        <is>
          <t>Only stores with at least 30 orders are ranked (of 6,743 stores, 1,685 qualify). Without that filter the "longest" stores are one- or two-order restaurants with a single bad delivery, which says nothing about the store. Four of the five stores are in market 1.</t>
        </is>
      </c>
    </row>
    <row r="24" ht="31" customHeight="1">
      <c r="A24" s="14" t="inlineStr">
        <is>
          <t>Business insight: These stores are consistently slow (not one-off delays): hold a conversation about prep times and consider removing them from fast-delivery promotions until they improve.</t>
        </is>
      </c>
    </row>
  </sheetData>
  <mergeCells count="4">
    <mergeCell ref="A13:F13"/>
    <mergeCell ref="A14:F14"/>
    <mergeCell ref="A24:F24"/>
    <mergeCell ref="A23:F23"/>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tabColor rgb="007F7F7F"/>
    <outlinePr summaryBelow="1" summaryRight="1"/>
    <pageSetUpPr/>
  </sheetPr>
  <dimension ref="A1:A3"/>
  <sheetViews>
    <sheetView showGridLines="0" workbookViewId="0">
      <selection activeCell="A1" sqref="A1"/>
    </sheetView>
  </sheetViews>
  <sheetFormatPr baseColWidth="8" defaultRowHeight="15"/>
  <cols>
    <col width="100" customWidth="1" min="1" max="1"/>
  </cols>
  <sheetData>
    <row r="1" ht="26" customHeight="1">
      <c r="A1" s="1" t="inlineStr">
        <is>
          <t>Medium Q - First-time vs repeat customers</t>
        </is>
      </c>
    </row>
    <row r="3" ht="206.5" customHeight="1">
      <c r="A3" s="14" t="inlineStr">
        <is>
          <t>This question cannot be answered with the data provided.
The hint says to flag first-time vs repeat customers "by order frequency by customer ID", but dataset.csv has no customer ID (or any other customer identifier). Its columns are: market_id, created_at, actual_delivery_time, store_id, store_primary_category, order_protocol, total_items, subtotal, num_distinct_items, min_item_price, max_item_price, total_onshift_partners, total_busy_partners, total_outstanding_orders. store_id identifies the restaurant, not the customer, so using it would give a misleading answer.
What is needed: a customer_id column (or a customer table to join). Once available, the analysis is straightforward: flag customers with 1 order as first-time and 2+ as repeat, then compare the average total_items and subtotal between the two groups (plus the share of revenue from repeat customers).
Business insight (once answered): the gap in basket size between first-time and repeat customers shows whether loyalty offers should aim to raise spend per order or simply bring people back.</t>
        </is>
      </c>
    </row>
  </sheetData>
  <mergeCells count="1">
    <mergeCell ref="A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2026-10-17T03:43:08Z</dcterms:created>
  <dcterms:modified xmlns:dcterms="http://purl.org/dc/terms/" xmlns:xsi="http://www.w3.org/2001/XMLSchema-instance" xsi:type="dcterms:W3CDTF">2026-10-17T03:43:08Z</dcterms:modified>
</cp:coreProperties>
</file>